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30" tabRatio="600" firstSheet="0" activeTab="4" autoFilterDateGrouping="1"/>
  </bookViews>
  <sheets>
    <sheet name="Trang bìa" sheetId="1" state="visible" r:id="rId1"/>
    <sheet name="Giới thiệu" sheetId="2" state="visible" r:id="rId2"/>
    <sheet name="Tổng hợp" sheetId="3" state="visible" r:id="rId3"/>
    <sheet name="NV_08_Web" sheetId="4" state="visible" r:id="rId4"/>
    <sheet name="NV_08_App" sheetId="5" state="visible" r:id="rId5"/>
  </sheets>
  <definedNames>
    <definedName name="_xlnm.Print_Area" localSheetId="3">'NV_08_Web'!$V$13</definedName>
  </definedNames>
  <calcPr calcId="162913" fullCalcOnLoad="1"/>
</workbook>
</file>

<file path=xl/styles.xml><?xml version="1.0" encoding="utf-8"?>
<styleSheet xmlns="http://schemas.openxmlformats.org/spreadsheetml/2006/main">
  <numFmts count="2">
    <numFmt numFmtId="164" formatCode="[$]d/m/yy;@"/>
    <numFmt numFmtId="165" formatCode="0.0"/>
  </numFmts>
  <fonts count="32">
    <font>
      <name val="Arial"/>
      <family val="2"/>
      <color theme="1"/>
      <sz val="11"/>
      <scheme val="minor"/>
    </font>
    <font>
      <name val="Arial"/>
      <family val="2"/>
      <color theme="1"/>
      <sz val="11"/>
      <scheme val="minor"/>
    </font>
    <font>
      <name val="Arial"/>
      <family val="2"/>
      <color rgb="FF000000"/>
      <sz val="10"/>
      <scheme val="minor"/>
    </font>
    <font>
      <name val="Times New Roman"/>
      <family val="1"/>
      <color theme="1"/>
      <sz val="12"/>
    </font>
    <font>
      <name val="Times New Roman"/>
      <family val="1"/>
      <b val="1"/>
      <color theme="1"/>
      <sz val="12"/>
    </font>
    <font>
      <name val="Times New Roman"/>
      <family val="1"/>
      <sz val="12"/>
    </font>
    <font>
      <name val="Times New Roman"/>
      <family val="1"/>
      <color rgb="FF000000"/>
      <sz val="12"/>
    </font>
    <font>
      <name val="Times New Roman"/>
      <family val="1"/>
      <b val="1"/>
      <i val="1"/>
      <color theme="1"/>
      <sz val="12"/>
    </font>
    <font>
      <name val="Times New Roman"/>
      <family val="1"/>
      <b val="1"/>
      <i val="1"/>
      <color rgb="FF000000"/>
      <sz val="12"/>
    </font>
    <font>
      <name val="Arial"/>
      <family val="2"/>
      <sz val="10"/>
    </font>
    <font>
      <name val="Times New Roman"/>
      <family val="1"/>
      <sz val="10"/>
    </font>
    <font>
      <name val="Times New Roman"/>
      <family val="1"/>
      <b val="1"/>
      <sz val="14"/>
    </font>
    <font>
      <name val="Times New Roman"/>
      <family val="1"/>
      <b val="1"/>
      <sz val="12"/>
    </font>
    <font>
      <name val="Times New Roman"/>
      <family val="1"/>
      <sz val="18"/>
    </font>
    <font>
      <name val="Times New Roman"/>
      <family val="1"/>
      <b val="1"/>
      <sz val="24"/>
    </font>
    <font>
      <name val="Times New Roman"/>
      <family val="1"/>
      <b val="1"/>
      <sz val="22"/>
    </font>
    <font>
      <name val="Times New Roman"/>
      <family val="1"/>
      <sz val="20"/>
    </font>
    <font>
      <name val="Times New Roman"/>
      <family val="1"/>
      <b val="1"/>
      <sz val="10"/>
    </font>
    <font>
      <name val="Times New Roman"/>
      <family val="1"/>
      <color theme="1"/>
      <sz val="10"/>
    </font>
    <font>
      <name val="Times New Roman"/>
      <family val="1"/>
      <b val="1"/>
      <i val="1"/>
      <sz val="10"/>
    </font>
    <font>
      <name val="Times New Roman"/>
      <family val="1"/>
      <b val="1"/>
      <sz val="20"/>
    </font>
    <font>
      <name val="Times New Roman"/>
      <family val="1"/>
      <color theme="1"/>
      <sz val="11"/>
    </font>
    <font>
      <name val="Times New Roman"/>
      <family val="1"/>
      <sz val="11"/>
    </font>
    <font>
      <name val="Arial"/>
      <family val="2"/>
      <color theme="10"/>
      <sz val="11"/>
      <u val="single"/>
      <scheme val="minor"/>
    </font>
    <font>
      <name val="Arial"/>
      <family val="2"/>
      <b val="1"/>
      <sz val="20"/>
    </font>
    <font>
      <name val="Arial"/>
      <family val="2"/>
      <b val="1"/>
      <sz val="10"/>
    </font>
    <font>
      <name val="Arial"/>
      <family val="2"/>
      <color theme="1"/>
      <sz val="10"/>
      <scheme val="major"/>
    </font>
    <font>
      <name val="Arial"/>
      <family val="2"/>
      <color theme="10"/>
      <sz val="11"/>
      <u val="single"/>
      <scheme val="major"/>
    </font>
    <font>
      <name val="Times New Roman"/>
      <family val="1"/>
      <b val="1"/>
      <color indexed="8"/>
      <sz val="20"/>
    </font>
    <font>
      <name val="Times New Roman"/>
      <family val="1"/>
      <color indexed="8"/>
      <sz val="10"/>
    </font>
    <font>
      <name val="Times New Roman"/>
      <family val="1"/>
      <b val="1"/>
      <color indexed="8"/>
      <sz val="12"/>
    </font>
    <font>
      <name val="ＭＳ Ｐゴシック"/>
      <charset val="128"/>
      <family val="3"/>
      <sz val="11"/>
    </font>
  </fonts>
  <fills count="15">
    <fill>
      <patternFill/>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B8CCE4"/>
        <bgColor rgb="FFB8CCE4"/>
      </patternFill>
    </fill>
    <fill>
      <patternFill patternType="solid">
        <fgColor indexed="9"/>
        <bgColor indexed="64"/>
      </patternFill>
    </fill>
    <fill>
      <patternFill patternType="solid">
        <fgColor rgb="FFCCFFCC"/>
        <bgColor rgb="FF000000"/>
      </patternFill>
    </fill>
    <fill>
      <patternFill patternType="solid">
        <fgColor indexed="40"/>
        <bgColor indexed="64"/>
      </patternFill>
    </fill>
    <fill>
      <patternFill patternType="solid">
        <fgColor rgb="FFCCFFCC"/>
        <bgColor indexed="64"/>
      </patternFill>
    </fill>
    <fill>
      <patternFill patternType="solid">
        <fgColor indexed="42"/>
        <bgColor indexed="64"/>
      </patternFill>
    </fill>
    <fill>
      <patternFill patternType="solid">
        <fgColor theme="0"/>
        <bgColor rgb="FFCCFFCC"/>
      </patternFill>
    </fill>
    <fill>
      <patternFill patternType="solid">
        <fgColor theme="5" tint="0.5999938962981048"/>
        <bgColor rgb="FFCCFFCC"/>
      </patternFill>
    </fill>
    <fill>
      <patternFill patternType="solid">
        <fgColor indexed="9"/>
        <bgColor indexed="26"/>
      </patternFill>
    </fill>
    <fill>
      <patternFill patternType="solid">
        <fgColor rgb="FFFFFF00"/>
        <bgColor indexed="64"/>
      </patternFill>
    </fill>
  </fills>
  <borders count="3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bottom/>
      <diagonal/>
    </border>
    <border>
      <left style="thin">
        <color indexed="64"/>
      </left>
      <right style="thin">
        <color indexed="8"/>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style="thin">
        <color rgb="FF000000"/>
      </top>
      <bottom/>
      <diagonal/>
    </border>
    <border>
      <left style="thin">
        <color rgb="FF000000"/>
      </left>
      <right style="thin">
        <color indexed="64"/>
      </right>
      <top style="thin">
        <color indexed="64"/>
      </top>
      <bottom style="thin">
        <color indexed="64"/>
      </bottom>
      <diagonal/>
    </border>
  </borders>
  <cellStyleXfs count="10">
    <xf numFmtId="0" fontId="1" fillId="0" borderId="0"/>
    <xf numFmtId="0" fontId="2" fillId="0" borderId="0"/>
    <xf numFmtId="0" fontId="9" fillId="0" borderId="0"/>
    <xf numFmtId="0" fontId="1" fillId="0" borderId="0"/>
    <xf numFmtId="0" fontId="23" fillId="0" borderId="0"/>
    <xf numFmtId="0" fontId="1" fillId="0" borderId="0"/>
    <xf numFmtId="9" fontId="2" fillId="0" borderId="0"/>
    <xf numFmtId="0" fontId="31" fillId="0" borderId="0"/>
    <xf numFmtId="0" fontId="9" fillId="0" borderId="0"/>
    <xf numFmtId="0" fontId="9" fillId="0" borderId="0"/>
  </cellStyleXfs>
  <cellXfs count="217">
    <xf numFmtId="0" fontId="0" fillId="0" borderId="0" pivotButton="0" quotePrefix="0" xfId="0"/>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4" fillId="4" borderId="3" applyAlignment="1" pivotButton="0" quotePrefix="0" xfId="1">
      <alignment horizontal="center" vertical="center" wrapText="1"/>
    </xf>
    <xf numFmtId="0" fontId="6" fillId="0" borderId="0" applyAlignment="1" pivotButton="0" quotePrefix="0" xfId="1">
      <alignment horizontal="center"/>
    </xf>
    <xf numFmtId="0" fontId="4" fillId="4" borderId="2"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5" applyAlignment="1" pivotButton="0" quotePrefix="0" xfId="1">
      <alignment horizontal="left"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7" fillId="3" borderId="10" applyAlignment="1" pivotButton="0" quotePrefix="0" xfId="1">
      <alignment vertical="center"/>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2" borderId="11" pivotButton="0" quotePrefix="0" xfId="1"/>
    <xf numFmtId="0" fontId="3" fillId="2" borderId="10" pivotButton="0" quotePrefix="0" xfId="1"/>
    <xf numFmtId="0" fontId="3" fillId="2" borderId="0" pivotButton="0" quotePrefix="0" xfId="1"/>
    <xf numFmtId="0" fontId="3" fillId="0" borderId="0" pivotButton="0" quotePrefix="0" xfId="1"/>
    <xf numFmtId="0" fontId="6" fillId="0" borderId="0" applyAlignment="1" pivotButton="0" quotePrefix="0" xfId="1">
      <alignment horizontal="center" vertical="center"/>
    </xf>
    <xf numFmtId="0" fontId="6" fillId="0" borderId="0" applyAlignment="1" pivotButton="0" quotePrefix="0" xfId="1">
      <alignment wrapText="1"/>
    </xf>
    <xf numFmtId="0" fontId="6" fillId="0" borderId="0" applyAlignment="1" pivotButton="0" quotePrefix="0" xfId="1">
      <alignment vertical="center"/>
    </xf>
    <xf numFmtId="0" fontId="10" fillId="6" borderId="13" pivotButton="0" quotePrefix="0" xfId="2"/>
    <xf numFmtId="0" fontId="10" fillId="6" borderId="14" pivotButton="0" quotePrefix="0" xfId="2"/>
    <xf numFmtId="0" fontId="11" fillId="6" borderId="14" pivotButton="0" quotePrefix="0" xfId="2"/>
    <xf numFmtId="0" fontId="11" fillId="6" borderId="14" applyAlignment="1" pivotButton="0" quotePrefix="0" xfId="2">
      <alignment horizontal="left"/>
    </xf>
    <xf numFmtId="0" fontId="12" fillId="6" borderId="14" applyAlignment="1" pivotButton="0" quotePrefix="0" xfId="2">
      <alignment horizontal="center"/>
    </xf>
    <xf numFmtId="0" fontId="10" fillId="6" borderId="15" pivotButton="0" quotePrefix="0" xfId="2"/>
    <xf numFmtId="0" fontId="10" fillId="0" borderId="0" pivotButton="0" quotePrefix="0" xfId="2"/>
    <xf numFmtId="0" fontId="10" fillId="6" borderId="16" pivotButton="0" quotePrefix="0" xfId="2"/>
    <xf numFmtId="0" fontId="10" fillId="6" borderId="0" pivotButton="0" quotePrefix="0" xfId="2"/>
    <xf numFmtId="0" fontId="11" fillId="6" borderId="0" pivotButton="0" quotePrefix="0" xfId="2"/>
    <xf numFmtId="0" fontId="12" fillId="6" borderId="0" applyAlignment="1" pivotButton="0" quotePrefix="0" xfId="2">
      <alignment horizontal="center"/>
    </xf>
    <xf numFmtId="0" fontId="10" fillId="6" borderId="17" pivotButton="0" quotePrefix="0" xfId="2"/>
    <xf numFmtId="0" fontId="15" fillId="0" borderId="0" applyAlignment="1" pivotButton="0" quotePrefix="0" xfId="2">
      <alignment wrapText="1"/>
    </xf>
    <xf numFmtId="0" fontId="17" fillId="6" borderId="0" pivotButton="0" quotePrefix="0" xfId="2"/>
    <xf numFmtId="0" fontId="10" fillId="6" borderId="0" pivotButton="0" quotePrefix="0" xfId="1"/>
    <xf numFmtId="0" fontId="18" fillId="2" borderId="0" applyAlignment="1" pivotButton="0" quotePrefix="0" xfId="3">
      <alignment horizontal="left"/>
    </xf>
    <xf numFmtId="0" fontId="17" fillId="6" borderId="16" pivotButton="0" quotePrefix="0" xfId="2"/>
    <xf numFmtId="0" fontId="17" fillId="6" borderId="17" pivotButton="0" quotePrefix="0" xfId="2"/>
    <xf numFmtId="0" fontId="10" fillId="6" borderId="0" applyAlignment="1" pivotButton="0" quotePrefix="0" xfId="2">
      <alignment horizontal="left"/>
    </xf>
    <xf numFmtId="0" fontId="19" fillId="6" borderId="16" applyAlignment="1" pivotButton="0" quotePrefix="0" xfId="1">
      <alignment horizontal="left"/>
    </xf>
    <xf numFmtId="0" fontId="10" fillId="6" borderId="0" applyAlignment="1" pivotButton="0" quotePrefix="0" xfId="1">
      <alignment horizontal="left"/>
    </xf>
    <xf numFmtId="0" fontId="10" fillId="0" borderId="17" pivotButton="0" quotePrefix="0" xfId="2"/>
    <xf numFmtId="0" fontId="10" fillId="6" borderId="16" applyAlignment="1" pivotButton="0" quotePrefix="0" xfId="1">
      <alignment horizontal="left"/>
    </xf>
    <xf numFmtId="14" fontId="10" fillId="6" borderId="0" pivotButton="0" quotePrefix="0" xfId="1"/>
    <xf numFmtId="0" fontId="10" fillId="6" borderId="16" applyAlignment="1" pivotButton="0" quotePrefix="0" xfId="1">
      <alignment horizontal="left" indent="11"/>
    </xf>
    <xf numFmtId="0" fontId="10" fillId="6" borderId="16" pivotButton="0" quotePrefix="0" xfId="1"/>
    <xf numFmtId="0" fontId="10" fillId="6" borderId="18" pivotButton="0" quotePrefix="0" xfId="1"/>
    <xf numFmtId="0" fontId="10" fillId="6" borderId="19" pivotButton="0" quotePrefix="0" xfId="1"/>
    <xf numFmtId="0" fontId="10" fillId="0" borderId="20" pivotButton="0" quotePrefix="0" xfId="2"/>
    <xf numFmtId="0" fontId="17" fillId="8" borderId="12" applyAlignment="1" pivotButton="0" quotePrefix="0" xfId="1">
      <alignment horizontal="center" vertical="center" wrapText="1"/>
    </xf>
    <xf numFmtId="164" fontId="21" fillId="0" borderId="2" pivotButton="0" quotePrefix="0" xfId="3"/>
    <xf numFmtId="0" fontId="21" fillId="0" borderId="2" pivotButton="0" quotePrefix="0" xfId="3"/>
    <xf numFmtId="0" fontId="22" fillId="0" borderId="10" pivotButton="0" quotePrefix="0" xfId="1"/>
    <xf numFmtId="0" fontId="9" fillId="6" borderId="0" pivotButton="0" quotePrefix="0" xfId="1"/>
    <xf numFmtId="0" fontId="9" fillId="6" borderId="0" pivotButton="0" quotePrefix="0" xfId="2"/>
    <xf numFmtId="0" fontId="9" fillId="0" borderId="10" applyAlignment="1" pivotButton="0" quotePrefix="0" xfId="2">
      <alignment horizontal="left" vertical="center" wrapText="1"/>
    </xf>
    <xf numFmtId="0" fontId="25" fillId="9" borderId="10" applyAlignment="1" pivotButton="0" quotePrefix="0" xfId="2">
      <alignment horizontal="center" vertical="center" wrapText="1"/>
    </xf>
    <xf numFmtId="0" fontId="9" fillId="6" borderId="10" applyAlignment="1" pivotButton="0" quotePrefix="0" xfId="1">
      <alignment horizontal="center" vertical="center" wrapText="1"/>
    </xf>
    <xf numFmtId="0" fontId="26" fillId="0" borderId="2" applyAlignment="1" pivotButton="0" quotePrefix="0" xfId="3">
      <alignment horizontal="left" vertical="center" wrapText="1"/>
    </xf>
    <xf numFmtId="0" fontId="26" fillId="0" borderId="2" applyAlignment="1" pivotButton="0" quotePrefix="0" xfId="3">
      <alignment horizontal="center" vertical="center" wrapText="1"/>
    </xf>
    <xf numFmtId="0" fontId="27" fillId="0" borderId="2" applyAlignment="1" pivotButton="0" quotePrefix="0" xfId="4">
      <alignment horizontal="left" vertical="center" wrapText="1"/>
    </xf>
    <xf numFmtId="0" fontId="9" fillId="6" borderId="0" pivotButton="0" quotePrefix="0" xfId="5"/>
    <xf numFmtId="0" fontId="9" fillId="6" borderId="10" applyAlignment="1" pivotButton="0" quotePrefix="0" xfId="2">
      <alignment horizontal="justify" vertical="center" wrapText="1"/>
    </xf>
    <xf numFmtId="0" fontId="9" fillId="6" borderId="10" applyAlignment="1" pivotButton="0" quotePrefix="0" xfId="2">
      <alignment vertical="center" wrapText="1"/>
    </xf>
    <xf numFmtId="0" fontId="9" fillId="6" borderId="10" applyAlignment="1" pivotButton="0" quotePrefix="0" xfId="2">
      <alignment horizontal="center" vertical="center" wrapText="1"/>
    </xf>
    <xf numFmtId="0" fontId="9" fillId="0" borderId="10" applyAlignment="1" pivotButton="0" quotePrefix="0" xfId="1">
      <alignment horizontal="center" vertical="center" wrapText="1"/>
    </xf>
    <xf numFmtId="0" fontId="9" fillId="9" borderId="10" applyAlignment="1" pivotButton="0" quotePrefix="0" xfId="2">
      <alignment horizontal="center" vertical="center" wrapText="1"/>
    </xf>
    <xf numFmtId="0" fontId="25" fillId="9" borderId="10" applyAlignment="1" pivotButton="0" quotePrefix="0" xfId="2">
      <alignment horizontal="left" vertical="center" wrapText="1"/>
    </xf>
    <xf numFmtId="0" fontId="9" fillId="6" borderId="10" applyAlignment="1" pivotButton="0" quotePrefix="0" xfId="1">
      <alignment horizontal="left" vertical="center" wrapText="1"/>
    </xf>
    <xf numFmtId="0" fontId="29" fillId="6" borderId="0" pivotButton="0" quotePrefix="0" xfId="1"/>
    <xf numFmtId="0" fontId="17" fillId="8" borderId="10" applyAlignment="1" pivotButton="0" quotePrefix="0" xfId="1">
      <alignment horizontal="center" vertical="top" wrapText="1"/>
    </xf>
    <xf numFmtId="0" fontId="10" fillId="10" borderId="23" applyAlignment="1" pivotButton="0" quotePrefix="0" xfId="1">
      <alignment horizontal="center"/>
    </xf>
    <xf numFmtId="0" fontId="29" fillId="10" borderId="10" pivotButton="0" quotePrefix="0" xfId="1"/>
    <xf numFmtId="0" fontId="29" fillId="10" borderId="10" applyAlignment="1" pivotButton="0" quotePrefix="0" xfId="1">
      <alignment horizontal="center"/>
    </xf>
    <xf numFmtId="9" fontId="29" fillId="10" borderId="10" applyAlignment="1" pivotButton="0" quotePrefix="0" xfId="6">
      <alignment horizontal="center"/>
    </xf>
    <xf numFmtId="0" fontId="30" fillId="10" borderId="10" applyAlignment="1" pivotButton="0" quotePrefix="0" xfId="1">
      <alignment horizontal="center"/>
    </xf>
    <xf numFmtId="9" fontId="30" fillId="10" borderId="10" applyAlignment="1" pivotButton="0" quotePrefix="0" xfId="6">
      <alignment horizontal="center"/>
    </xf>
    <xf numFmtId="0" fontId="29" fillId="6" borderId="0" applyAlignment="1" pivotButton="0" quotePrefix="0" xfId="1">
      <alignment horizontal="center"/>
    </xf>
    <xf numFmtId="0" fontId="7" fillId="3" borderId="10" applyAlignment="1" pivotButton="0" quotePrefix="0" xfId="1">
      <alignment horizontal="center" vertical="center" wrapText="1"/>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3" fillId="2" borderId="0" applyAlignment="1" pivotButton="0" quotePrefix="0" xfId="1">
      <alignment horizontal="center" vertical="center" wrapText="1"/>
    </xf>
    <xf numFmtId="0" fontId="3" fillId="2" borderId="0" applyAlignment="1" pivotButton="0" quotePrefix="0" xfId="1">
      <alignment horizontal="left" vertical="center" wrapText="1"/>
    </xf>
    <xf numFmtId="0" fontId="6" fillId="0" borderId="0" pivotButton="0" quotePrefix="0" xfId="1"/>
    <xf numFmtId="0" fontId="4" fillId="2" borderId="2" applyAlignment="1" pivotButton="0" quotePrefix="0" xfId="1">
      <alignment horizontal="left" vertical="center" wrapText="1"/>
    </xf>
    <xf numFmtId="0" fontId="3" fillId="2" borderId="2" applyAlignment="1" pivotButton="0" quotePrefix="0" xfId="1">
      <alignment horizontal="left" vertical="center" wrapText="1"/>
    </xf>
    <xf numFmtId="0" fontId="3" fillId="3" borderId="2" applyAlignment="1" pivotButton="0" quotePrefix="0" xfId="1">
      <alignment horizontal="left" vertical="center" wrapText="1"/>
    </xf>
    <xf numFmtId="0" fontId="6" fillId="0" borderId="0" applyAlignment="1" pivotButton="0" quotePrefix="0" xfId="1">
      <alignment horizontal="center"/>
    </xf>
    <xf numFmtId="0" fontId="3" fillId="3" borderId="7" applyAlignment="1" pivotButton="0" quotePrefix="0" xfId="1">
      <alignment horizontal="center" vertical="center" wrapText="1"/>
    </xf>
    <xf numFmtId="0" fontId="4" fillId="5" borderId="0" applyAlignment="1" pivotButton="0" quotePrefix="0" xfId="1">
      <alignment horizontal="center" vertical="center" wrapText="1"/>
    </xf>
    <xf numFmtId="0" fontId="4" fillId="5" borderId="6" applyAlignment="1" pivotButton="0" quotePrefix="0" xfId="1">
      <alignment horizontal="left" vertical="center" wrapText="1"/>
    </xf>
    <xf numFmtId="0" fontId="3" fillId="0" borderId="0" applyAlignment="1" pivotButton="0" quotePrefix="0" xfId="1">
      <alignment horizontal="left" vertical="center" wrapText="1"/>
    </xf>
    <xf numFmtId="0" fontId="3" fillId="3" borderId="9" applyAlignment="1" pivotButton="0" quotePrefix="0" xfId="1">
      <alignment horizontal="center" vertical="center" wrapText="1"/>
    </xf>
    <xf numFmtId="0" fontId="7" fillId="3" borderId="10" applyAlignment="1" pivotButton="0" quotePrefix="0" xfId="1">
      <alignment horizontal="center" vertical="center" wrapText="1"/>
    </xf>
    <xf numFmtId="0" fontId="6" fillId="0" borderId="0" applyAlignment="1" pivotButton="0" quotePrefix="0" xfId="1">
      <alignment vertical="center" wrapText="1"/>
    </xf>
    <xf numFmtId="0" fontId="3" fillId="0" borderId="0" pivotButton="0" quotePrefix="0" xfId="1"/>
    <xf numFmtId="0" fontId="6" fillId="0" borderId="0" applyAlignment="1" pivotButton="0" quotePrefix="0" xfId="1">
      <alignment wrapText="1"/>
    </xf>
    <xf numFmtId="0" fontId="6" fillId="0" borderId="0" applyAlignment="1" pivotButton="0" quotePrefix="0" xfId="1">
      <alignment vertical="center"/>
    </xf>
    <xf numFmtId="0" fontId="7" fillId="11" borderId="10" applyAlignment="1" pivotButton="0" quotePrefix="0" xfId="1">
      <alignment horizontal="center" vertical="center" wrapText="1"/>
    </xf>
    <xf numFmtId="0" fontId="6" fillId="7" borderId="10" applyAlignment="1" pivotButton="0" quotePrefix="0" xfId="0">
      <alignment horizontal="center" vertical="center" wrapText="1"/>
    </xf>
    <xf numFmtId="0" fontId="5" fillId="6" borderId="10" applyAlignment="1" pivotButton="0" quotePrefix="0" xfId="0">
      <alignment horizontal="center" vertical="center" wrapText="1"/>
    </xf>
    <xf numFmtId="0" fontId="3" fillId="2" borderId="11" pivotButton="0" quotePrefix="0" xfId="1"/>
    <xf numFmtId="0" fontId="3" fillId="2" borderId="10" pivotButton="0" quotePrefix="0" xfId="1"/>
    <xf numFmtId="0" fontId="5" fillId="13" borderId="24" applyAlignment="1" pivotButton="0" quotePrefix="1" xfId="7">
      <alignment vertical="center" wrapText="1"/>
    </xf>
    <xf numFmtId="0" fontId="5" fillId="13" borderId="25" applyAlignment="1" pivotButton="0" quotePrefix="0" xfId="7">
      <alignment vertical="center" wrapText="1"/>
    </xf>
    <xf numFmtId="0" fontId="3" fillId="2" borderId="26" pivotButton="0" quotePrefix="0" xfId="1"/>
    <xf numFmtId="0" fontId="3" fillId="2" borderId="3" pivotButton="0" quotePrefix="0" xfId="1"/>
    <xf numFmtId="0" fontId="4" fillId="4" borderId="3" applyAlignment="1" pivotButton="0" quotePrefix="0" xfId="1">
      <alignment horizontal="center" vertical="center" wrapText="1"/>
    </xf>
    <xf numFmtId="0" fontId="5" fillId="0" borderId="1" pivotButton="0" quotePrefix="0" xfId="1"/>
    <xf numFmtId="0" fontId="7" fillId="2" borderId="11" pivotButton="0" quotePrefix="0" xfId="1"/>
    <xf numFmtId="0" fontId="7" fillId="2" borderId="10" pivotButton="0" quotePrefix="0" xfId="1"/>
    <xf numFmtId="0" fontId="7" fillId="2" borderId="0" pivotButton="0" quotePrefix="0" xfId="1"/>
    <xf numFmtId="0" fontId="7" fillId="0" borderId="0" pivotButton="0" quotePrefix="0" xfId="1"/>
    <xf numFmtId="0" fontId="8" fillId="0" borderId="0" pivotButton="0" quotePrefix="0" xfId="1"/>
    <xf numFmtId="0" fontId="7" fillId="2" borderId="0" applyAlignment="1" pivotButton="0" quotePrefix="0" xfId="1">
      <alignment horizontal="left" vertical="center" wrapText="1"/>
    </xf>
    <xf numFmtId="0" fontId="3" fillId="3" borderId="10" applyAlignment="1" pivotButton="0" quotePrefix="0" xfId="1">
      <alignment horizontal="center" vertical="center" wrapText="1"/>
    </xf>
    <xf numFmtId="0" fontId="3" fillId="11" borderId="10" applyAlignment="1" pivotButton="0" quotePrefix="0" xfId="1">
      <alignment horizontal="center" vertical="center" wrapText="1"/>
    </xf>
    <xf numFmtId="0" fontId="3" fillId="2" borderId="11" applyAlignment="1" pivotButton="0" quotePrefix="0" xfId="1">
      <alignment wrapText="1"/>
    </xf>
    <xf numFmtId="0" fontId="3" fillId="2" borderId="10" applyAlignment="1" pivotButton="0" quotePrefix="0" xfId="1">
      <alignment wrapText="1"/>
    </xf>
    <xf numFmtId="0" fontId="3" fillId="2" borderId="0" applyAlignment="1" pivotButton="0" quotePrefix="0" xfId="1">
      <alignment wrapText="1"/>
    </xf>
    <xf numFmtId="0" fontId="3" fillId="0" borderId="0" applyAlignment="1" pivotButton="0" quotePrefix="0" xfId="1">
      <alignment wrapText="1"/>
    </xf>
    <xf numFmtId="0" fontId="3" fillId="11" borderId="10" applyAlignment="1" pivotButton="0" quotePrefix="0" xfId="1">
      <alignment vertical="top" wrapText="1"/>
    </xf>
    <xf numFmtId="0" fontId="4" fillId="4" borderId="0" applyAlignment="1" pivotButton="0" quotePrefix="0" xfId="1">
      <alignment horizontal="center" vertical="center" wrapText="1"/>
    </xf>
    <xf numFmtId="0" fontId="5" fillId="0" borderId="0" applyAlignment="1" pivotButton="0" quotePrefix="0" xfId="1">
      <alignment horizontal="center"/>
    </xf>
    <xf numFmtId="0" fontId="5" fillId="0" borderId="27" pivotButton="0" quotePrefix="0" xfId="1"/>
    <xf numFmtId="0" fontId="7" fillId="3" borderId="21" applyAlignment="1" pivotButton="0" quotePrefix="0" xfId="1">
      <alignment vertical="center" wrapText="1"/>
    </xf>
    <xf numFmtId="0" fontId="7" fillId="3" borderId="22" applyAlignment="1" pivotButton="0" quotePrefix="0" xfId="1">
      <alignment vertical="center" wrapText="1"/>
    </xf>
    <xf numFmtId="0" fontId="7" fillId="3" borderId="11" applyAlignment="1" pivotButton="0" quotePrefix="0" xfId="1">
      <alignment vertical="center" wrapText="1"/>
    </xf>
    <xf numFmtId="0" fontId="4" fillId="5" borderId="1" applyAlignment="1" pivotButton="0" quotePrefix="0" xfId="1">
      <alignment horizontal="left" vertical="center" wrapText="1"/>
    </xf>
    <xf numFmtId="0" fontId="12" fillId="14" borderId="10" applyAlignment="1" pivotButton="0" quotePrefix="0" xfId="1">
      <alignment vertical="top" wrapText="1"/>
    </xf>
    <xf numFmtId="0" fontId="4" fillId="4" borderId="10" applyAlignment="1" pivotButton="0" quotePrefix="0" xfId="1">
      <alignment horizontal="center" vertical="center" wrapText="1"/>
    </xf>
    <xf numFmtId="0" fontId="5" fillId="0" borderId="10" applyAlignment="1" pivotButton="0" quotePrefix="0" xfId="1">
      <alignment horizontal="center"/>
    </xf>
    <xf numFmtId="0" fontId="5" fillId="0" borderId="10" pivotButton="0" quotePrefix="0" xfId="1"/>
    <xf numFmtId="0" fontId="22" fillId="0" borderId="21" applyAlignment="1" pivotButton="0" quotePrefix="0" xfId="1">
      <alignment horizontal="center"/>
    </xf>
    <xf numFmtId="0" fontId="22" fillId="0" borderId="22" applyAlignment="1" pivotButton="0" quotePrefix="0" xfId="1">
      <alignment horizontal="center"/>
    </xf>
    <xf numFmtId="0" fontId="22" fillId="0" borderId="11" applyAlignment="1" pivotButton="0" quotePrefix="0" xfId="1">
      <alignment horizontal="center"/>
    </xf>
    <xf numFmtId="0" fontId="22" fillId="0" borderId="10" applyAlignment="1" pivotButton="0" quotePrefix="0" xfId="1">
      <alignment horizontal="center"/>
    </xf>
    <xf numFmtId="0" fontId="13" fillId="6" borderId="16" applyAlignment="1" pivotButton="0" quotePrefix="0" xfId="2">
      <alignment horizontal="center"/>
    </xf>
    <xf numFmtId="0" fontId="13" fillId="6" borderId="0" applyAlignment="1" pivotButton="0" quotePrefix="0" xfId="2">
      <alignment horizontal="center"/>
    </xf>
    <xf numFmtId="0" fontId="13" fillId="6" borderId="17" applyAlignment="1" pivotButton="0" quotePrefix="0" xfId="2">
      <alignment horizontal="center"/>
    </xf>
    <xf numFmtId="0" fontId="14" fillId="6" borderId="16" applyAlignment="1" pivotButton="0" quotePrefix="0" xfId="2">
      <alignment horizontal="center" wrapText="1"/>
    </xf>
    <xf numFmtId="0" fontId="14" fillId="6" borderId="0" applyAlignment="1" pivotButton="0" quotePrefix="0" xfId="2">
      <alignment horizontal="center" wrapText="1"/>
    </xf>
    <xf numFmtId="0" fontId="14" fillId="6" borderId="17" applyAlignment="1" pivotButton="0" quotePrefix="0" xfId="2">
      <alignment horizontal="center" wrapText="1"/>
    </xf>
    <xf numFmtId="0" fontId="16" fillId="6" borderId="16" applyAlignment="1" pivotButton="0" quotePrefix="0" xfId="2">
      <alignment horizontal="center" wrapText="1"/>
    </xf>
    <xf numFmtId="0" fontId="16" fillId="6" borderId="0" applyAlignment="1" pivotButton="0" quotePrefix="0" xfId="2">
      <alignment horizontal="center" wrapText="1"/>
    </xf>
    <xf numFmtId="0" fontId="16" fillId="6" borderId="17" applyAlignment="1" pivotButton="0" quotePrefix="0" xfId="2">
      <alignment horizontal="center" wrapText="1"/>
    </xf>
    <xf numFmtId="0" fontId="20" fillId="6" borderId="0" applyAlignment="1" pivotButton="0" quotePrefix="0" xfId="1">
      <alignment horizontal="center"/>
    </xf>
    <xf numFmtId="0" fontId="17" fillId="8" borderId="10" applyAlignment="1" pivotButton="0" quotePrefix="0" xfId="1">
      <alignment horizontal="center" vertical="center" wrapText="1"/>
    </xf>
    <xf numFmtId="0" fontId="9" fillId="6" borderId="21" applyAlignment="1" pivotButton="0" quotePrefix="0" xfId="2">
      <alignment horizontal="left" vertical="center" wrapText="1"/>
    </xf>
    <xf numFmtId="0" fontId="9" fillId="6" borderId="22" applyAlignment="1" pivotButton="0" quotePrefix="0" xfId="2">
      <alignment horizontal="left" vertical="center" wrapText="1"/>
    </xf>
    <xf numFmtId="0" fontId="9" fillId="6" borderId="11" applyAlignment="1" pivotButton="0" quotePrefix="0" xfId="2">
      <alignment horizontal="left" vertical="center" wrapText="1"/>
    </xf>
    <xf numFmtId="0" fontId="25" fillId="9" borderId="21" applyAlignment="1" pivotButton="0" quotePrefix="0" xfId="2">
      <alignment horizontal="center" vertical="center" wrapText="1"/>
    </xf>
    <xf numFmtId="0" fontId="25" fillId="9" borderId="11" applyAlignment="1" pivotButton="0" quotePrefix="0" xfId="2">
      <alignment horizontal="center" vertical="center" wrapText="1"/>
    </xf>
    <xf numFmtId="165" fontId="9" fillId="6" borderId="10" applyAlignment="1" pivotButton="0" quotePrefix="0" xfId="1">
      <alignment horizontal="center" vertical="center" wrapText="1"/>
    </xf>
    <xf numFmtId="0" fontId="25" fillId="8" borderId="10" applyAlignment="1" pivotButton="0" quotePrefix="0" xfId="2">
      <alignment horizontal="left" vertical="center" wrapText="1"/>
    </xf>
    <xf numFmtId="0" fontId="25" fillId="9" borderId="21" applyAlignment="1" pivotButton="0" quotePrefix="0" xfId="2">
      <alignment horizontal="left" vertical="center" wrapText="1"/>
    </xf>
    <xf numFmtId="0" fontId="25" fillId="9" borderId="22" applyAlignment="1" pivotButton="0" quotePrefix="0" xfId="2">
      <alignment horizontal="left" vertical="center" wrapText="1"/>
    </xf>
    <xf numFmtId="0" fontId="25" fillId="9" borderId="11" applyAlignment="1" pivotButton="0" quotePrefix="0" xfId="2">
      <alignment horizontal="left" vertical="center" wrapText="1"/>
    </xf>
    <xf numFmtId="0" fontId="9" fillId="0" borderId="10" applyAlignment="1" pivotButton="0" quotePrefix="0" xfId="2">
      <alignment horizontal="left" vertical="center" wrapText="1"/>
    </xf>
    <xf numFmtId="0" fontId="24" fillId="6" borderId="0" applyAlignment="1" pivotButton="0" quotePrefix="0" xfId="2">
      <alignment horizontal="center"/>
    </xf>
    <xf numFmtId="0" fontId="9" fillId="0" borderId="10" applyAlignment="1" pivotButton="0" quotePrefix="0" xfId="1">
      <alignment horizontal="left" vertical="center" wrapText="1"/>
    </xf>
    <xf numFmtId="0" fontId="28" fillId="6" borderId="0" applyAlignment="1" pivotButton="0" quotePrefix="0" xfId="1">
      <alignment horizontal="center"/>
    </xf>
    <xf numFmtId="0" fontId="12" fillId="10" borderId="21" applyAlignment="1" pivotButton="0" quotePrefix="0" xfId="1">
      <alignment horizontal="center" vertical="center" wrapText="1"/>
    </xf>
    <xf numFmtId="0" fontId="12" fillId="10" borderId="11" applyAlignment="1" pivotButton="0" quotePrefix="0" xfId="1">
      <alignment horizontal="center" vertical="center" wrapText="1"/>
    </xf>
    <xf numFmtId="0" fontId="3" fillId="2" borderId="21" applyAlignment="1" pivotButton="0" quotePrefix="0" xfId="1">
      <alignment vertical="center" wrapText="1"/>
    </xf>
    <xf numFmtId="0" fontId="3" fillId="2" borderId="22" applyAlignment="1" pivotButton="0" quotePrefix="0" xfId="1">
      <alignment vertical="center" wrapText="1"/>
    </xf>
    <xf numFmtId="0" fontId="3" fillId="2" borderId="11" applyAlignment="1" pivotButton="0" quotePrefix="0" xfId="1">
      <alignment vertical="center" wrapText="1"/>
    </xf>
    <xf numFmtId="0" fontId="7" fillId="3" borderId="21" applyAlignment="1" pivotButton="0" quotePrefix="0" xfId="1">
      <alignment vertical="center"/>
    </xf>
    <xf numFmtId="0" fontId="7" fillId="3" borderId="22" applyAlignment="1" pivotButton="0" quotePrefix="0" xfId="1">
      <alignment vertical="center"/>
    </xf>
    <xf numFmtId="0" fontId="7" fillId="3" borderId="11" applyAlignment="1" pivotButton="0" quotePrefix="0" xfId="1">
      <alignment vertical="center"/>
    </xf>
    <xf numFmtId="0" fontId="8" fillId="3" borderId="21" applyAlignment="1" pivotButton="0" quotePrefix="0" xfId="1">
      <alignment vertical="center"/>
    </xf>
    <xf numFmtId="0" fontId="8" fillId="3" borderId="22" applyAlignment="1" pivotButton="0" quotePrefix="0" xfId="1">
      <alignment vertical="center"/>
    </xf>
    <xf numFmtId="0" fontId="8" fillId="3" borderId="11" applyAlignment="1" pivotButton="0" quotePrefix="0" xfId="1">
      <alignment vertical="center"/>
    </xf>
    <xf numFmtId="0" fontId="4" fillId="12" borderId="21" applyAlignment="1" pivotButton="0" quotePrefix="0" xfId="1">
      <alignment vertical="center"/>
    </xf>
    <xf numFmtId="0" fontId="4" fillId="12" borderId="22" applyAlignment="1" pivotButton="0" quotePrefix="0" xfId="1">
      <alignment vertical="center"/>
    </xf>
    <xf numFmtId="0" fontId="4" fillId="12" borderId="11" applyAlignment="1" pivotButton="0" quotePrefix="0" xfId="1">
      <alignment vertical="center"/>
    </xf>
    <xf numFmtId="0" fontId="12" fillId="14" borderId="29" applyAlignment="1" pivotButton="0" quotePrefix="0" xfId="1">
      <alignment vertical="top" wrapText="1"/>
    </xf>
    <xf numFmtId="0" fontId="12" fillId="14" borderId="22" applyAlignment="1" pivotButton="0" quotePrefix="0" xfId="1">
      <alignment vertical="top" wrapText="1"/>
    </xf>
    <xf numFmtId="0" fontId="12" fillId="14" borderId="11" applyAlignment="1" pivotButton="0" quotePrefix="0" xfId="1">
      <alignment vertical="top" wrapText="1"/>
    </xf>
    <xf numFmtId="0" fontId="7" fillId="5" borderId="28" applyAlignment="1" pivotButton="0" quotePrefix="0" xfId="1">
      <alignment horizontal="left" vertical="center" wrapText="1"/>
    </xf>
    <xf numFmtId="0" fontId="7" fillId="5" borderId="19" applyAlignment="1" pivotButton="0" quotePrefix="0" xfId="1">
      <alignment horizontal="left" vertical="center" wrapText="1"/>
    </xf>
    <xf numFmtId="0" fontId="4" fillId="4" borderId="4" applyAlignment="1" pivotButton="0" quotePrefix="0" xfId="1">
      <alignment horizontal="center" vertical="center" wrapText="1"/>
    </xf>
    <xf numFmtId="0" fontId="5" fillId="0" borderId="5" applyAlignment="1" pivotButton="0" quotePrefix="0" xfId="1">
      <alignment horizontal="center"/>
    </xf>
    <xf numFmtId="0" fontId="5" fillId="0" borderId="6" applyAlignment="1" pivotButton="0" quotePrefix="0" xfId="1">
      <alignment horizontal="center"/>
    </xf>
    <xf numFmtId="0" fontId="4" fillId="4" borderId="3" applyAlignment="1" pivotButton="0" quotePrefix="0" xfId="1">
      <alignment horizontal="center" vertical="center" wrapText="1"/>
    </xf>
    <xf numFmtId="0" fontId="5" fillId="0" borderId="8" applyAlignment="1" pivotButton="0" quotePrefix="0" xfId="1">
      <alignment horizontal="center"/>
    </xf>
    <xf numFmtId="0" fontId="5" fillId="0" borderId="8" pivotButton="0" quotePrefix="0" xfId="1"/>
    <xf numFmtId="0" fontId="4" fillId="2" borderId="1" applyAlignment="1" pivotButton="0" quotePrefix="0" xfId="1">
      <alignment horizontal="center" vertical="center" wrapText="1"/>
    </xf>
    <xf numFmtId="0" fontId="5" fillId="0" borderId="1" pivotButton="0" quotePrefix="0" xfId="1"/>
    <xf numFmtId="0" fontId="5" fillId="0" borderId="7" applyAlignment="1" pivotButton="0" quotePrefix="0" xfId="1">
      <alignment horizontal="center"/>
    </xf>
    <xf numFmtId="0" fontId="5" fillId="0" borderId="7" pivotButton="0" quotePrefix="0" xfId="1"/>
    <xf numFmtId="0" fontId="12" fillId="14" borderId="10" applyAlignment="1" pivotButton="0" quotePrefix="0" xfId="1">
      <alignment vertical="top" wrapText="1"/>
    </xf>
    <xf numFmtId="0" fontId="13" fillId="6" borderId="30" applyAlignment="1" pivotButton="0" quotePrefix="0" xfId="2">
      <alignment horizontal="center"/>
    </xf>
    <xf numFmtId="0" fontId="0" fillId="0" borderId="17" pivotButton="0" quotePrefix="0" xfId="0"/>
    <xf numFmtId="0" fontId="14" fillId="6" borderId="30" applyAlignment="1" pivotButton="0" quotePrefix="0" xfId="2">
      <alignment horizontal="center" wrapText="1"/>
    </xf>
    <xf numFmtId="0" fontId="16" fillId="6" borderId="30" applyAlignment="1" pivotButton="0" quotePrefix="0" xfId="2">
      <alignment horizontal="center" wrapText="1"/>
    </xf>
    <xf numFmtId="0" fontId="0" fillId="0" borderId="22" pivotButton="0" quotePrefix="0" xfId="0"/>
    <xf numFmtId="0" fontId="0" fillId="0" borderId="11" pivotButton="0" quotePrefix="0" xfId="0"/>
    <xf numFmtId="0" fontId="9" fillId="6" borderId="10" applyAlignment="1" pivotButton="0" quotePrefix="0" xfId="2">
      <alignment horizontal="left" vertical="center" wrapText="1"/>
    </xf>
    <xf numFmtId="0" fontId="12" fillId="10" borderId="10" applyAlignment="1" pivotButton="0" quotePrefix="0" xfId="1">
      <alignment horizontal="center" vertical="center" wrapText="1"/>
    </xf>
    <xf numFmtId="0" fontId="0" fillId="0" borderId="1"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2" fillId="14" borderId="32" applyAlignment="1" pivotButton="0" quotePrefix="0" xfId="1">
      <alignment vertical="top" wrapText="1"/>
    </xf>
    <xf numFmtId="0" fontId="0" fillId="0" borderId="19" pivotButton="0" quotePrefix="0" xfId="0"/>
    <xf numFmtId="0" fontId="4" fillId="12" borderId="10" applyAlignment="1" pivotButton="0" quotePrefix="0" xfId="1">
      <alignment vertical="center"/>
    </xf>
  </cellXfs>
  <cellStyles count="10">
    <cellStyle name="Normal" xfId="0" builtinId="0"/>
    <cellStyle name="Normal 2" xfId="1"/>
    <cellStyle name="Normal 3" xfId="2"/>
    <cellStyle name="Normal 4" xfId="3"/>
    <cellStyle name="Hyperlink 2" xfId="4"/>
    <cellStyle name="Normal 2 2" xfId="5"/>
    <cellStyle name="Percent 2" xfId="6"/>
    <cellStyle name="Normal_Sheet1" xfId="7"/>
    <cellStyle name="Normal 2 3 2 2 2" xfId="8"/>
    <cellStyle name="Normal 3 11 2" xfId="9"/>
  </cellStyles>
  <dxfs count="143">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ill>
        <patternFill/>
      </fill>
    </dxf>
    <dxf>
      <font>
        <b val="1"/>
        <condense val="0"/>
        <color indexed="12"/>
        <extend val="0"/>
      </font>
    </dxf>
    <dxf>
      <font>
        <b val="1"/>
        <condense val="0"/>
        <color indexed="10"/>
        <extend val="0"/>
      </font>
    </dxf>
    <dxf>
      <font>
        <color rgb="FF0000FF"/>
      </font>
      <fill>
        <patternFill/>
      </fill>
    </dxf>
    <dxf>
      <font>
        <color rgb="FFFF0000"/>
      </font>
      <fill>
        <patternFill/>
      </fill>
    </dxf>
    <dxf>
      <font>
        <color rgb="FF000000"/>
      </font>
      <fill>
        <patternFill/>
      </fill>
    </dxf>
    <dxf>
      <font>
        <color rgb="FF0000FF"/>
      </font>
      <fill>
        <patternFill/>
      </fill>
    </dxf>
    <dxf>
      <font>
        <color rgb="FFFF0000"/>
      </font>
      <fill>
        <patternFill/>
      </fill>
    </dxf>
    <dxf>
      <font>
        <color rgb="FF00000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topLeftCell="A7" workbookViewId="0">
      <selection activeCell="E19" sqref="E19"/>
    </sheetView>
  </sheetViews>
  <sheetFormatPr baseColWidth="8" defaultColWidth="8.25" defaultRowHeight="12.75"/>
  <cols>
    <col width="8.25" customWidth="1" style="30" min="1" max="1"/>
    <col width="14.875" customWidth="1" style="30" min="2" max="2"/>
    <col width="11.375" customWidth="1" style="30" min="3" max="3"/>
    <col width="12.75" customWidth="1" style="30" min="4" max="4"/>
    <col width="27.375" customWidth="1" style="30" min="5" max="5"/>
    <col width="19" customWidth="1" style="30" min="6" max="6"/>
    <col width="16.5" customWidth="1" style="30" min="7" max="7"/>
    <col width="7.25" customWidth="1" style="30" min="8" max="8"/>
    <col width="7.5" customWidth="1" style="30" min="9" max="9"/>
    <col width="8.25" customWidth="1" style="30" min="10" max="257"/>
    <col width="14.875" customWidth="1" style="30" min="258" max="258"/>
    <col width="11.375" customWidth="1" style="30" min="259" max="259"/>
    <col width="12.75" customWidth="1" style="30" min="260" max="260"/>
    <col width="27.375" customWidth="1" style="30" min="261" max="261"/>
    <col width="19" customWidth="1" style="30" min="262" max="262"/>
    <col width="16.5" customWidth="1" style="30" min="263" max="263"/>
    <col width="7.25" customWidth="1" style="30" min="264" max="264"/>
    <col width="7.5" customWidth="1" style="30" min="265" max="265"/>
    <col width="8.25" customWidth="1" style="30" min="266" max="513"/>
    <col width="14.875" customWidth="1" style="30" min="514" max="514"/>
    <col width="11.375" customWidth="1" style="30" min="515" max="515"/>
    <col width="12.75" customWidth="1" style="30" min="516" max="516"/>
    <col width="27.375" customWidth="1" style="30" min="517" max="517"/>
    <col width="19" customWidth="1" style="30" min="518" max="518"/>
    <col width="16.5" customWidth="1" style="30" min="519" max="519"/>
    <col width="7.25" customWidth="1" style="30" min="520" max="520"/>
    <col width="7.5" customWidth="1" style="30" min="521" max="521"/>
    <col width="8.25" customWidth="1" style="30" min="522" max="769"/>
    <col width="14.875" customWidth="1" style="30" min="770" max="770"/>
    <col width="11.375" customWidth="1" style="30" min="771" max="771"/>
    <col width="12.75" customWidth="1" style="30" min="772" max="772"/>
    <col width="27.375" customWidth="1" style="30" min="773" max="773"/>
    <col width="19" customWidth="1" style="30" min="774" max="774"/>
    <col width="16.5" customWidth="1" style="30" min="775" max="775"/>
    <col width="7.25" customWidth="1" style="30" min="776" max="776"/>
    <col width="7.5" customWidth="1" style="30" min="777" max="777"/>
    <col width="8.25" customWidth="1" style="30" min="778" max="1025"/>
    <col width="14.875" customWidth="1" style="30" min="1026" max="1026"/>
    <col width="11.375" customWidth="1" style="30" min="1027" max="1027"/>
    <col width="12.75" customWidth="1" style="30" min="1028" max="1028"/>
    <col width="27.375" customWidth="1" style="30" min="1029" max="1029"/>
    <col width="19" customWidth="1" style="30" min="1030" max="1030"/>
    <col width="16.5" customWidth="1" style="30" min="1031" max="1031"/>
    <col width="7.25" customWidth="1" style="30" min="1032" max="1032"/>
    <col width="7.5" customWidth="1" style="30" min="1033" max="1033"/>
    <col width="8.25" customWidth="1" style="30" min="1034" max="1281"/>
    <col width="14.875" customWidth="1" style="30" min="1282" max="1282"/>
    <col width="11.375" customWidth="1" style="30" min="1283" max="1283"/>
    <col width="12.75" customWidth="1" style="30" min="1284" max="1284"/>
    <col width="27.375" customWidth="1" style="30" min="1285" max="1285"/>
    <col width="19" customWidth="1" style="30" min="1286" max="1286"/>
    <col width="16.5" customWidth="1" style="30" min="1287" max="1287"/>
    <col width="7.25" customWidth="1" style="30" min="1288" max="1288"/>
    <col width="7.5" customWidth="1" style="30" min="1289" max="1289"/>
    <col width="8.25" customWidth="1" style="30" min="1290" max="1537"/>
    <col width="14.875" customWidth="1" style="30" min="1538" max="1538"/>
    <col width="11.375" customWidth="1" style="30" min="1539" max="1539"/>
    <col width="12.75" customWidth="1" style="30" min="1540" max="1540"/>
    <col width="27.375" customWidth="1" style="30" min="1541" max="1541"/>
    <col width="19" customWidth="1" style="30" min="1542" max="1542"/>
    <col width="16.5" customWidth="1" style="30" min="1543" max="1543"/>
    <col width="7.25" customWidth="1" style="30" min="1544" max="1544"/>
    <col width="7.5" customWidth="1" style="30" min="1545" max="1545"/>
    <col width="8.25" customWidth="1" style="30" min="1546" max="1793"/>
    <col width="14.875" customWidth="1" style="30" min="1794" max="1794"/>
    <col width="11.375" customWidth="1" style="30" min="1795" max="1795"/>
    <col width="12.75" customWidth="1" style="30" min="1796" max="1796"/>
    <col width="27.375" customWidth="1" style="30" min="1797" max="1797"/>
    <col width="19" customWidth="1" style="30" min="1798" max="1798"/>
    <col width="16.5" customWidth="1" style="30" min="1799" max="1799"/>
    <col width="7.25" customWidth="1" style="30" min="1800" max="1800"/>
    <col width="7.5" customWidth="1" style="30" min="1801" max="1801"/>
    <col width="8.25" customWidth="1" style="30" min="1802" max="2049"/>
    <col width="14.875" customWidth="1" style="30" min="2050" max="2050"/>
    <col width="11.375" customWidth="1" style="30" min="2051" max="2051"/>
    <col width="12.75" customWidth="1" style="30" min="2052" max="2052"/>
    <col width="27.375" customWidth="1" style="30" min="2053" max="2053"/>
    <col width="19" customWidth="1" style="30" min="2054" max="2054"/>
    <col width="16.5" customWidth="1" style="30" min="2055" max="2055"/>
    <col width="7.25" customWidth="1" style="30" min="2056" max="2056"/>
    <col width="7.5" customWidth="1" style="30" min="2057" max="2057"/>
    <col width="8.25" customWidth="1" style="30" min="2058" max="2305"/>
    <col width="14.875" customWidth="1" style="30" min="2306" max="2306"/>
    <col width="11.375" customWidth="1" style="30" min="2307" max="2307"/>
    <col width="12.75" customWidth="1" style="30" min="2308" max="2308"/>
    <col width="27.375" customWidth="1" style="30" min="2309" max="2309"/>
    <col width="19" customWidth="1" style="30" min="2310" max="2310"/>
    <col width="16.5" customWidth="1" style="30" min="2311" max="2311"/>
    <col width="7.25" customWidth="1" style="30" min="2312" max="2312"/>
    <col width="7.5" customWidth="1" style="30" min="2313" max="2313"/>
    <col width="8.25" customWidth="1" style="30" min="2314" max="2561"/>
    <col width="14.875" customWidth="1" style="30" min="2562" max="2562"/>
    <col width="11.375" customWidth="1" style="30" min="2563" max="2563"/>
    <col width="12.75" customWidth="1" style="30" min="2564" max="2564"/>
    <col width="27.375" customWidth="1" style="30" min="2565" max="2565"/>
    <col width="19" customWidth="1" style="30" min="2566" max="2566"/>
    <col width="16.5" customWidth="1" style="30" min="2567" max="2567"/>
    <col width="7.25" customWidth="1" style="30" min="2568" max="2568"/>
    <col width="7.5" customWidth="1" style="30" min="2569" max="2569"/>
    <col width="8.25" customWidth="1" style="30" min="2570" max="2817"/>
    <col width="14.875" customWidth="1" style="30" min="2818" max="2818"/>
    <col width="11.375" customWidth="1" style="30" min="2819" max="2819"/>
    <col width="12.75" customWidth="1" style="30" min="2820" max="2820"/>
    <col width="27.375" customWidth="1" style="30" min="2821" max="2821"/>
    <col width="19" customWidth="1" style="30" min="2822" max="2822"/>
    <col width="16.5" customWidth="1" style="30" min="2823" max="2823"/>
    <col width="7.25" customWidth="1" style="30" min="2824" max="2824"/>
    <col width="7.5" customWidth="1" style="30" min="2825" max="2825"/>
    <col width="8.25" customWidth="1" style="30" min="2826" max="3073"/>
    <col width="14.875" customWidth="1" style="30" min="3074" max="3074"/>
    <col width="11.375" customWidth="1" style="30" min="3075" max="3075"/>
    <col width="12.75" customWidth="1" style="30" min="3076" max="3076"/>
    <col width="27.375" customWidth="1" style="30" min="3077" max="3077"/>
    <col width="19" customWidth="1" style="30" min="3078" max="3078"/>
    <col width="16.5" customWidth="1" style="30" min="3079" max="3079"/>
    <col width="7.25" customWidth="1" style="30" min="3080" max="3080"/>
    <col width="7.5" customWidth="1" style="30" min="3081" max="3081"/>
    <col width="8.25" customWidth="1" style="30" min="3082" max="3329"/>
    <col width="14.875" customWidth="1" style="30" min="3330" max="3330"/>
    <col width="11.375" customWidth="1" style="30" min="3331" max="3331"/>
    <col width="12.75" customWidth="1" style="30" min="3332" max="3332"/>
    <col width="27.375" customWidth="1" style="30" min="3333" max="3333"/>
    <col width="19" customWidth="1" style="30" min="3334" max="3334"/>
    <col width="16.5" customWidth="1" style="30" min="3335" max="3335"/>
    <col width="7.25" customWidth="1" style="30" min="3336" max="3336"/>
    <col width="7.5" customWidth="1" style="30" min="3337" max="3337"/>
    <col width="8.25" customWidth="1" style="30" min="3338" max="3585"/>
    <col width="14.875" customWidth="1" style="30" min="3586" max="3586"/>
    <col width="11.375" customWidth="1" style="30" min="3587" max="3587"/>
    <col width="12.75" customWidth="1" style="30" min="3588" max="3588"/>
    <col width="27.375" customWidth="1" style="30" min="3589" max="3589"/>
    <col width="19" customWidth="1" style="30" min="3590" max="3590"/>
    <col width="16.5" customWidth="1" style="30" min="3591" max="3591"/>
    <col width="7.25" customWidth="1" style="30" min="3592" max="3592"/>
    <col width="7.5" customWidth="1" style="30" min="3593" max="3593"/>
    <col width="8.25" customWidth="1" style="30" min="3594" max="3841"/>
    <col width="14.875" customWidth="1" style="30" min="3842" max="3842"/>
    <col width="11.375" customWidth="1" style="30" min="3843" max="3843"/>
    <col width="12.75" customWidth="1" style="30" min="3844" max="3844"/>
    <col width="27.375" customWidth="1" style="30" min="3845" max="3845"/>
    <col width="19" customWidth="1" style="30" min="3846" max="3846"/>
    <col width="16.5" customWidth="1" style="30" min="3847" max="3847"/>
    <col width="7.25" customWidth="1" style="30" min="3848" max="3848"/>
    <col width="7.5" customWidth="1" style="30" min="3849" max="3849"/>
    <col width="8.25" customWidth="1" style="30" min="3850" max="4097"/>
    <col width="14.875" customWidth="1" style="30" min="4098" max="4098"/>
    <col width="11.375" customWidth="1" style="30" min="4099" max="4099"/>
    <col width="12.75" customWidth="1" style="30" min="4100" max="4100"/>
    <col width="27.375" customWidth="1" style="30" min="4101" max="4101"/>
    <col width="19" customWidth="1" style="30" min="4102" max="4102"/>
    <col width="16.5" customWidth="1" style="30" min="4103" max="4103"/>
    <col width="7.25" customWidth="1" style="30" min="4104" max="4104"/>
    <col width="7.5" customWidth="1" style="30" min="4105" max="4105"/>
    <col width="8.25" customWidth="1" style="30" min="4106" max="4353"/>
    <col width="14.875" customWidth="1" style="30" min="4354" max="4354"/>
    <col width="11.375" customWidth="1" style="30" min="4355" max="4355"/>
    <col width="12.75" customWidth="1" style="30" min="4356" max="4356"/>
    <col width="27.375" customWidth="1" style="30" min="4357" max="4357"/>
    <col width="19" customWidth="1" style="30" min="4358" max="4358"/>
    <col width="16.5" customWidth="1" style="30" min="4359" max="4359"/>
    <col width="7.25" customWidth="1" style="30" min="4360" max="4360"/>
    <col width="7.5" customWidth="1" style="30" min="4361" max="4361"/>
    <col width="8.25" customWidth="1" style="30" min="4362" max="4609"/>
    <col width="14.875" customWidth="1" style="30" min="4610" max="4610"/>
    <col width="11.375" customWidth="1" style="30" min="4611" max="4611"/>
    <col width="12.75" customWidth="1" style="30" min="4612" max="4612"/>
    <col width="27.375" customWidth="1" style="30" min="4613" max="4613"/>
    <col width="19" customWidth="1" style="30" min="4614" max="4614"/>
    <col width="16.5" customWidth="1" style="30" min="4615" max="4615"/>
    <col width="7.25" customWidth="1" style="30" min="4616" max="4616"/>
    <col width="7.5" customWidth="1" style="30" min="4617" max="4617"/>
    <col width="8.25" customWidth="1" style="30" min="4618" max="4865"/>
    <col width="14.875" customWidth="1" style="30" min="4866" max="4866"/>
    <col width="11.375" customWidth="1" style="30" min="4867" max="4867"/>
    <col width="12.75" customWidth="1" style="30" min="4868" max="4868"/>
    <col width="27.375" customWidth="1" style="30" min="4869" max="4869"/>
    <col width="19" customWidth="1" style="30" min="4870" max="4870"/>
    <col width="16.5" customWidth="1" style="30" min="4871" max="4871"/>
    <col width="7.25" customWidth="1" style="30" min="4872" max="4872"/>
    <col width="7.5" customWidth="1" style="30" min="4873" max="4873"/>
    <col width="8.25" customWidth="1" style="30" min="4874" max="5121"/>
    <col width="14.875" customWidth="1" style="30" min="5122" max="5122"/>
    <col width="11.375" customWidth="1" style="30" min="5123" max="5123"/>
    <col width="12.75" customWidth="1" style="30" min="5124" max="5124"/>
    <col width="27.375" customWidth="1" style="30" min="5125" max="5125"/>
    <col width="19" customWidth="1" style="30" min="5126" max="5126"/>
    <col width="16.5" customWidth="1" style="30" min="5127" max="5127"/>
    <col width="7.25" customWidth="1" style="30" min="5128" max="5128"/>
    <col width="7.5" customWidth="1" style="30" min="5129" max="5129"/>
    <col width="8.25" customWidth="1" style="30" min="5130" max="5377"/>
    <col width="14.875" customWidth="1" style="30" min="5378" max="5378"/>
    <col width="11.375" customWidth="1" style="30" min="5379" max="5379"/>
    <col width="12.75" customWidth="1" style="30" min="5380" max="5380"/>
    <col width="27.375" customWidth="1" style="30" min="5381" max="5381"/>
    <col width="19" customWidth="1" style="30" min="5382" max="5382"/>
    <col width="16.5" customWidth="1" style="30" min="5383" max="5383"/>
    <col width="7.25" customWidth="1" style="30" min="5384" max="5384"/>
    <col width="7.5" customWidth="1" style="30" min="5385" max="5385"/>
    <col width="8.25" customWidth="1" style="30" min="5386" max="5633"/>
    <col width="14.875" customWidth="1" style="30" min="5634" max="5634"/>
    <col width="11.375" customWidth="1" style="30" min="5635" max="5635"/>
    <col width="12.75" customWidth="1" style="30" min="5636" max="5636"/>
    <col width="27.375" customWidth="1" style="30" min="5637" max="5637"/>
    <col width="19" customWidth="1" style="30" min="5638" max="5638"/>
    <col width="16.5" customWidth="1" style="30" min="5639" max="5639"/>
    <col width="7.25" customWidth="1" style="30" min="5640" max="5640"/>
    <col width="7.5" customWidth="1" style="30" min="5641" max="5641"/>
    <col width="8.25" customWidth="1" style="30" min="5642" max="5889"/>
    <col width="14.875" customWidth="1" style="30" min="5890" max="5890"/>
    <col width="11.375" customWidth="1" style="30" min="5891" max="5891"/>
    <col width="12.75" customWidth="1" style="30" min="5892" max="5892"/>
    <col width="27.375" customWidth="1" style="30" min="5893" max="5893"/>
    <col width="19" customWidth="1" style="30" min="5894" max="5894"/>
    <col width="16.5" customWidth="1" style="30" min="5895" max="5895"/>
    <col width="7.25" customWidth="1" style="30" min="5896" max="5896"/>
    <col width="7.5" customWidth="1" style="30" min="5897" max="5897"/>
    <col width="8.25" customWidth="1" style="30" min="5898" max="6145"/>
    <col width="14.875" customWidth="1" style="30" min="6146" max="6146"/>
    <col width="11.375" customWidth="1" style="30" min="6147" max="6147"/>
    <col width="12.75" customWidth="1" style="30" min="6148" max="6148"/>
    <col width="27.375" customWidth="1" style="30" min="6149" max="6149"/>
    <col width="19" customWidth="1" style="30" min="6150" max="6150"/>
    <col width="16.5" customWidth="1" style="30" min="6151" max="6151"/>
    <col width="7.25" customWidth="1" style="30" min="6152" max="6152"/>
    <col width="7.5" customWidth="1" style="30" min="6153" max="6153"/>
    <col width="8.25" customWidth="1" style="30" min="6154" max="6401"/>
    <col width="14.875" customWidth="1" style="30" min="6402" max="6402"/>
    <col width="11.375" customWidth="1" style="30" min="6403" max="6403"/>
    <col width="12.75" customWidth="1" style="30" min="6404" max="6404"/>
    <col width="27.375" customWidth="1" style="30" min="6405" max="6405"/>
    <col width="19" customWidth="1" style="30" min="6406" max="6406"/>
    <col width="16.5" customWidth="1" style="30" min="6407" max="6407"/>
    <col width="7.25" customWidth="1" style="30" min="6408" max="6408"/>
    <col width="7.5" customWidth="1" style="30" min="6409" max="6409"/>
    <col width="8.25" customWidth="1" style="30" min="6410" max="6657"/>
    <col width="14.875" customWidth="1" style="30" min="6658" max="6658"/>
    <col width="11.375" customWidth="1" style="30" min="6659" max="6659"/>
    <col width="12.75" customWidth="1" style="30" min="6660" max="6660"/>
    <col width="27.375" customWidth="1" style="30" min="6661" max="6661"/>
    <col width="19" customWidth="1" style="30" min="6662" max="6662"/>
    <col width="16.5" customWidth="1" style="30" min="6663" max="6663"/>
    <col width="7.25" customWidth="1" style="30" min="6664" max="6664"/>
    <col width="7.5" customWidth="1" style="30" min="6665" max="6665"/>
    <col width="8.25" customWidth="1" style="30" min="6666" max="6913"/>
    <col width="14.875" customWidth="1" style="30" min="6914" max="6914"/>
    <col width="11.375" customWidth="1" style="30" min="6915" max="6915"/>
    <col width="12.75" customWidth="1" style="30" min="6916" max="6916"/>
    <col width="27.375" customWidth="1" style="30" min="6917" max="6917"/>
    <col width="19" customWidth="1" style="30" min="6918" max="6918"/>
    <col width="16.5" customWidth="1" style="30" min="6919" max="6919"/>
    <col width="7.25" customWidth="1" style="30" min="6920" max="6920"/>
    <col width="7.5" customWidth="1" style="30" min="6921" max="6921"/>
    <col width="8.25" customWidth="1" style="30" min="6922" max="7169"/>
    <col width="14.875" customWidth="1" style="30" min="7170" max="7170"/>
    <col width="11.375" customWidth="1" style="30" min="7171" max="7171"/>
    <col width="12.75" customWidth="1" style="30" min="7172" max="7172"/>
    <col width="27.375" customWidth="1" style="30" min="7173" max="7173"/>
    <col width="19" customWidth="1" style="30" min="7174" max="7174"/>
    <col width="16.5" customWidth="1" style="30" min="7175" max="7175"/>
    <col width="7.25" customWidth="1" style="30" min="7176" max="7176"/>
    <col width="7.5" customWidth="1" style="30" min="7177" max="7177"/>
    <col width="8.25" customWidth="1" style="30" min="7178" max="7425"/>
    <col width="14.875" customWidth="1" style="30" min="7426" max="7426"/>
    <col width="11.375" customWidth="1" style="30" min="7427" max="7427"/>
    <col width="12.75" customWidth="1" style="30" min="7428" max="7428"/>
    <col width="27.375" customWidth="1" style="30" min="7429" max="7429"/>
    <col width="19" customWidth="1" style="30" min="7430" max="7430"/>
    <col width="16.5" customWidth="1" style="30" min="7431" max="7431"/>
    <col width="7.25" customWidth="1" style="30" min="7432" max="7432"/>
    <col width="7.5" customWidth="1" style="30" min="7433" max="7433"/>
    <col width="8.25" customWidth="1" style="30" min="7434" max="7681"/>
    <col width="14.875" customWidth="1" style="30" min="7682" max="7682"/>
    <col width="11.375" customWidth="1" style="30" min="7683" max="7683"/>
    <col width="12.75" customWidth="1" style="30" min="7684" max="7684"/>
    <col width="27.375" customWidth="1" style="30" min="7685" max="7685"/>
    <col width="19" customWidth="1" style="30" min="7686" max="7686"/>
    <col width="16.5" customWidth="1" style="30" min="7687" max="7687"/>
    <col width="7.25" customWidth="1" style="30" min="7688" max="7688"/>
    <col width="7.5" customWidth="1" style="30" min="7689" max="7689"/>
    <col width="8.25" customWidth="1" style="30" min="7690" max="7937"/>
    <col width="14.875" customWidth="1" style="30" min="7938" max="7938"/>
    <col width="11.375" customWidth="1" style="30" min="7939" max="7939"/>
    <col width="12.75" customWidth="1" style="30" min="7940" max="7940"/>
    <col width="27.375" customWidth="1" style="30" min="7941" max="7941"/>
    <col width="19" customWidth="1" style="30" min="7942" max="7942"/>
    <col width="16.5" customWidth="1" style="30" min="7943" max="7943"/>
    <col width="7.25" customWidth="1" style="30" min="7944" max="7944"/>
    <col width="7.5" customWidth="1" style="30" min="7945" max="7945"/>
    <col width="8.25" customWidth="1" style="30" min="7946" max="8193"/>
    <col width="14.875" customWidth="1" style="30" min="8194" max="8194"/>
    <col width="11.375" customWidth="1" style="30" min="8195" max="8195"/>
    <col width="12.75" customWidth="1" style="30" min="8196" max="8196"/>
    <col width="27.375" customWidth="1" style="30" min="8197" max="8197"/>
    <col width="19" customWidth="1" style="30" min="8198" max="8198"/>
    <col width="16.5" customWidth="1" style="30" min="8199" max="8199"/>
    <col width="7.25" customWidth="1" style="30" min="8200" max="8200"/>
    <col width="7.5" customWidth="1" style="30" min="8201" max="8201"/>
    <col width="8.25" customWidth="1" style="30" min="8202" max="8449"/>
    <col width="14.875" customWidth="1" style="30" min="8450" max="8450"/>
    <col width="11.375" customWidth="1" style="30" min="8451" max="8451"/>
    <col width="12.75" customWidth="1" style="30" min="8452" max="8452"/>
    <col width="27.375" customWidth="1" style="30" min="8453" max="8453"/>
    <col width="19" customWidth="1" style="30" min="8454" max="8454"/>
    <col width="16.5" customWidth="1" style="30" min="8455" max="8455"/>
    <col width="7.25" customWidth="1" style="30" min="8456" max="8456"/>
    <col width="7.5" customWidth="1" style="30" min="8457" max="8457"/>
    <col width="8.25" customWidth="1" style="30" min="8458" max="8705"/>
    <col width="14.875" customWidth="1" style="30" min="8706" max="8706"/>
    <col width="11.375" customWidth="1" style="30" min="8707" max="8707"/>
    <col width="12.75" customWidth="1" style="30" min="8708" max="8708"/>
    <col width="27.375" customWidth="1" style="30" min="8709" max="8709"/>
    <col width="19" customWidth="1" style="30" min="8710" max="8710"/>
    <col width="16.5" customWidth="1" style="30" min="8711" max="8711"/>
    <col width="7.25" customWidth="1" style="30" min="8712" max="8712"/>
    <col width="7.5" customWidth="1" style="30" min="8713" max="8713"/>
    <col width="8.25" customWidth="1" style="30" min="8714" max="8961"/>
    <col width="14.875" customWidth="1" style="30" min="8962" max="8962"/>
    <col width="11.375" customWidth="1" style="30" min="8963" max="8963"/>
    <col width="12.75" customWidth="1" style="30" min="8964" max="8964"/>
    <col width="27.375" customWidth="1" style="30" min="8965" max="8965"/>
    <col width="19" customWidth="1" style="30" min="8966" max="8966"/>
    <col width="16.5" customWidth="1" style="30" min="8967" max="8967"/>
    <col width="7.25" customWidth="1" style="30" min="8968" max="8968"/>
    <col width="7.5" customWidth="1" style="30" min="8969" max="8969"/>
    <col width="8.25" customWidth="1" style="30" min="8970" max="9217"/>
    <col width="14.875" customWidth="1" style="30" min="9218" max="9218"/>
    <col width="11.375" customWidth="1" style="30" min="9219" max="9219"/>
    <col width="12.75" customWidth="1" style="30" min="9220" max="9220"/>
    <col width="27.375" customWidth="1" style="30" min="9221" max="9221"/>
    <col width="19" customWidth="1" style="30" min="9222" max="9222"/>
    <col width="16.5" customWidth="1" style="30" min="9223" max="9223"/>
    <col width="7.25" customWidth="1" style="30" min="9224" max="9224"/>
    <col width="7.5" customWidth="1" style="30" min="9225" max="9225"/>
    <col width="8.25" customWidth="1" style="30" min="9226" max="9473"/>
    <col width="14.875" customWidth="1" style="30" min="9474" max="9474"/>
    <col width="11.375" customWidth="1" style="30" min="9475" max="9475"/>
    <col width="12.75" customWidth="1" style="30" min="9476" max="9476"/>
    <col width="27.375" customWidth="1" style="30" min="9477" max="9477"/>
    <col width="19" customWidth="1" style="30" min="9478" max="9478"/>
    <col width="16.5" customWidth="1" style="30" min="9479" max="9479"/>
    <col width="7.25" customWidth="1" style="30" min="9480" max="9480"/>
    <col width="7.5" customWidth="1" style="30" min="9481" max="9481"/>
    <col width="8.25" customWidth="1" style="30" min="9482" max="9729"/>
    <col width="14.875" customWidth="1" style="30" min="9730" max="9730"/>
    <col width="11.375" customWidth="1" style="30" min="9731" max="9731"/>
    <col width="12.75" customWidth="1" style="30" min="9732" max="9732"/>
    <col width="27.375" customWidth="1" style="30" min="9733" max="9733"/>
    <col width="19" customWidth="1" style="30" min="9734" max="9734"/>
    <col width="16.5" customWidth="1" style="30" min="9735" max="9735"/>
    <col width="7.25" customWidth="1" style="30" min="9736" max="9736"/>
    <col width="7.5" customWidth="1" style="30" min="9737" max="9737"/>
    <col width="8.25" customWidth="1" style="30" min="9738" max="9985"/>
    <col width="14.875" customWidth="1" style="30" min="9986" max="9986"/>
    <col width="11.375" customWidth="1" style="30" min="9987" max="9987"/>
    <col width="12.75" customWidth="1" style="30" min="9988" max="9988"/>
    <col width="27.375" customWidth="1" style="30" min="9989" max="9989"/>
    <col width="19" customWidth="1" style="30" min="9990" max="9990"/>
    <col width="16.5" customWidth="1" style="30" min="9991" max="9991"/>
    <col width="7.25" customWidth="1" style="30" min="9992" max="9992"/>
    <col width="7.5" customWidth="1" style="30" min="9993" max="9993"/>
    <col width="8.25" customWidth="1" style="30" min="9994" max="10241"/>
    <col width="14.875" customWidth="1" style="30" min="10242" max="10242"/>
    <col width="11.375" customWidth="1" style="30" min="10243" max="10243"/>
    <col width="12.75" customWidth="1" style="30" min="10244" max="10244"/>
    <col width="27.375" customWidth="1" style="30" min="10245" max="10245"/>
    <col width="19" customWidth="1" style="30" min="10246" max="10246"/>
    <col width="16.5" customWidth="1" style="30" min="10247" max="10247"/>
    <col width="7.25" customWidth="1" style="30" min="10248" max="10248"/>
    <col width="7.5" customWidth="1" style="30" min="10249" max="10249"/>
    <col width="8.25" customWidth="1" style="30" min="10250" max="10497"/>
    <col width="14.875" customWidth="1" style="30" min="10498" max="10498"/>
    <col width="11.375" customWidth="1" style="30" min="10499" max="10499"/>
    <col width="12.75" customWidth="1" style="30" min="10500" max="10500"/>
    <col width="27.375" customWidth="1" style="30" min="10501" max="10501"/>
    <col width="19" customWidth="1" style="30" min="10502" max="10502"/>
    <col width="16.5" customWidth="1" style="30" min="10503" max="10503"/>
    <col width="7.25" customWidth="1" style="30" min="10504" max="10504"/>
    <col width="7.5" customWidth="1" style="30" min="10505" max="10505"/>
    <col width="8.25" customWidth="1" style="30" min="10506" max="10753"/>
    <col width="14.875" customWidth="1" style="30" min="10754" max="10754"/>
    <col width="11.375" customWidth="1" style="30" min="10755" max="10755"/>
    <col width="12.75" customWidth="1" style="30" min="10756" max="10756"/>
    <col width="27.375" customWidth="1" style="30" min="10757" max="10757"/>
    <col width="19" customWidth="1" style="30" min="10758" max="10758"/>
    <col width="16.5" customWidth="1" style="30" min="10759" max="10759"/>
    <col width="7.25" customWidth="1" style="30" min="10760" max="10760"/>
    <col width="7.5" customWidth="1" style="30" min="10761" max="10761"/>
    <col width="8.25" customWidth="1" style="30" min="10762" max="11009"/>
    <col width="14.875" customWidth="1" style="30" min="11010" max="11010"/>
    <col width="11.375" customWidth="1" style="30" min="11011" max="11011"/>
    <col width="12.75" customWidth="1" style="30" min="11012" max="11012"/>
    <col width="27.375" customWidth="1" style="30" min="11013" max="11013"/>
    <col width="19" customWidth="1" style="30" min="11014" max="11014"/>
    <col width="16.5" customWidth="1" style="30" min="11015" max="11015"/>
    <col width="7.25" customWidth="1" style="30" min="11016" max="11016"/>
    <col width="7.5" customWidth="1" style="30" min="11017" max="11017"/>
    <col width="8.25" customWidth="1" style="30" min="11018" max="11265"/>
    <col width="14.875" customWidth="1" style="30" min="11266" max="11266"/>
    <col width="11.375" customWidth="1" style="30" min="11267" max="11267"/>
    <col width="12.75" customWidth="1" style="30" min="11268" max="11268"/>
    <col width="27.375" customWidth="1" style="30" min="11269" max="11269"/>
    <col width="19" customWidth="1" style="30" min="11270" max="11270"/>
    <col width="16.5" customWidth="1" style="30" min="11271" max="11271"/>
    <col width="7.25" customWidth="1" style="30" min="11272" max="11272"/>
    <col width="7.5" customWidth="1" style="30" min="11273" max="11273"/>
    <col width="8.25" customWidth="1" style="30" min="11274" max="11521"/>
    <col width="14.875" customWidth="1" style="30" min="11522" max="11522"/>
    <col width="11.375" customWidth="1" style="30" min="11523" max="11523"/>
    <col width="12.75" customWidth="1" style="30" min="11524" max="11524"/>
    <col width="27.375" customWidth="1" style="30" min="11525" max="11525"/>
    <col width="19" customWidth="1" style="30" min="11526" max="11526"/>
    <col width="16.5" customWidth="1" style="30" min="11527" max="11527"/>
    <col width="7.25" customWidth="1" style="30" min="11528" max="11528"/>
    <col width="7.5" customWidth="1" style="30" min="11529" max="11529"/>
    <col width="8.25" customWidth="1" style="30" min="11530" max="11777"/>
    <col width="14.875" customWidth="1" style="30" min="11778" max="11778"/>
    <col width="11.375" customWidth="1" style="30" min="11779" max="11779"/>
    <col width="12.75" customWidth="1" style="30" min="11780" max="11780"/>
    <col width="27.375" customWidth="1" style="30" min="11781" max="11781"/>
    <col width="19" customWidth="1" style="30" min="11782" max="11782"/>
    <col width="16.5" customWidth="1" style="30" min="11783" max="11783"/>
    <col width="7.25" customWidth="1" style="30" min="11784" max="11784"/>
    <col width="7.5" customWidth="1" style="30" min="11785" max="11785"/>
    <col width="8.25" customWidth="1" style="30" min="11786" max="12033"/>
    <col width="14.875" customWidth="1" style="30" min="12034" max="12034"/>
    <col width="11.375" customWidth="1" style="30" min="12035" max="12035"/>
    <col width="12.75" customWidth="1" style="30" min="12036" max="12036"/>
    <col width="27.375" customWidth="1" style="30" min="12037" max="12037"/>
    <col width="19" customWidth="1" style="30" min="12038" max="12038"/>
    <col width="16.5" customWidth="1" style="30" min="12039" max="12039"/>
    <col width="7.25" customWidth="1" style="30" min="12040" max="12040"/>
    <col width="7.5" customWidth="1" style="30" min="12041" max="12041"/>
    <col width="8.25" customWidth="1" style="30" min="12042" max="12289"/>
    <col width="14.875" customWidth="1" style="30" min="12290" max="12290"/>
    <col width="11.375" customWidth="1" style="30" min="12291" max="12291"/>
    <col width="12.75" customWidth="1" style="30" min="12292" max="12292"/>
    <col width="27.375" customWidth="1" style="30" min="12293" max="12293"/>
    <col width="19" customWidth="1" style="30" min="12294" max="12294"/>
    <col width="16.5" customWidth="1" style="30" min="12295" max="12295"/>
    <col width="7.25" customWidth="1" style="30" min="12296" max="12296"/>
    <col width="7.5" customWidth="1" style="30" min="12297" max="12297"/>
    <col width="8.25" customWidth="1" style="30" min="12298" max="12545"/>
    <col width="14.875" customWidth="1" style="30" min="12546" max="12546"/>
    <col width="11.375" customWidth="1" style="30" min="12547" max="12547"/>
    <col width="12.75" customWidth="1" style="30" min="12548" max="12548"/>
    <col width="27.375" customWidth="1" style="30" min="12549" max="12549"/>
    <col width="19" customWidth="1" style="30" min="12550" max="12550"/>
    <col width="16.5" customWidth="1" style="30" min="12551" max="12551"/>
    <col width="7.25" customWidth="1" style="30" min="12552" max="12552"/>
    <col width="7.5" customWidth="1" style="30" min="12553" max="12553"/>
    <col width="8.25" customWidth="1" style="30" min="12554" max="12801"/>
    <col width="14.875" customWidth="1" style="30" min="12802" max="12802"/>
    <col width="11.375" customWidth="1" style="30" min="12803" max="12803"/>
    <col width="12.75" customWidth="1" style="30" min="12804" max="12804"/>
    <col width="27.375" customWidth="1" style="30" min="12805" max="12805"/>
    <col width="19" customWidth="1" style="30" min="12806" max="12806"/>
    <col width="16.5" customWidth="1" style="30" min="12807" max="12807"/>
    <col width="7.25" customWidth="1" style="30" min="12808" max="12808"/>
    <col width="7.5" customWidth="1" style="30" min="12809" max="12809"/>
    <col width="8.25" customWidth="1" style="30" min="12810" max="13057"/>
    <col width="14.875" customWidth="1" style="30" min="13058" max="13058"/>
    <col width="11.375" customWidth="1" style="30" min="13059" max="13059"/>
    <col width="12.75" customWidth="1" style="30" min="13060" max="13060"/>
    <col width="27.375" customWidth="1" style="30" min="13061" max="13061"/>
    <col width="19" customWidth="1" style="30" min="13062" max="13062"/>
    <col width="16.5" customWidth="1" style="30" min="13063" max="13063"/>
    <col width="7.25" customWidth="1" style="30" min="13064" max="13064"/>
    <col width="7.5" customWidth="1" style="30" min="13065" max="13065"/>
    <col width="8.25" customWidth="1" style="30" min="13066" max="13313"/>
    <col width="14.875" customWidth="1" style="30" min="13314" max="13314"/>
    <col width="11.375" customWidth="1" style="30" min="13315" max="13315"/>
    <col width="12.75" customWidth="1" style="30" min="13316" max="13316"/>
    <col width="27.375" customWidth="1" style="30" min="13317" max="13317"/>
    <col width="19" customWidth="1" style="30" min="13318" max="13318"/>
    <col width="16.5" customWidth="1" style="30" min="13319" max="13319"/>
    <col width="7.25" customWidth="1" style="30" min="13320" max="13320"/>
    <col width="7.5" customWidth="1" style="30" min="13321" max="13321"/>
    <col width="8.25" customWidth="1" style="30" min="13322" max="13569"/>
    <col width="14.875" customWidth="1" style="30" min="13570" max="13570"/>
    <col width="11.375" customWidth="1" style="30" min="13571" max="13571"/>
    <col width="12.75" customWidth="1" style="30" min="13572" max="13572"/>
    <col width="27.375" customWidth="1" style="30" min="13573" max="13573"/>
    <col width="19" customWidth="1" style="30" min="13574" max="13574"/>
    <col width="16.5" customWidth="1" style="30" min="13575" max="13575"/>
    <col width="7.25" customWidth="1" style="30" min="13576" max="13576"/>
    <col width="7.5" customWidth="1" style="30" min="13577" max="13577"/>
    <col width="8.25" customWidth="1" style="30" min="13578" max="13825"/>
    <col width="14.875" customWidth="1" style="30" min="13826" max="13826"/>
    <col width="11.375" customWidth="1" style="30" min="13827" max="13827"/>
    <col width="12.75" customWidth="1" style="30" min="13828" max="13828"/>
    <col width="27.375" customWidth="1" style="30" min="13829" max="13829"/>
    <col width="19" customWidth="1" style="30" min="13830" max="13830"/>
    <col width="16.5" customWidth="1" style="30" min="13831" max="13831"/>
    <col width="7.25" customWidth="1" style="30" min="13832" max="13832"/>
    <col width="7.5" customWidth="1" style="30" min="13833" max="13833"/>
    <col width="8.25" customWidth="1" style="30" min="13834" max="14081"/>
    <col width="14.875" customWidth="1" style="30" min="14082" max="14082"/>
    <col width="11.375" customWidth="1" style="30" min="14083" max="14083"/>
    <col width="12.75" customWidth="1" style="30" min="14084" max="14084"/>
    <col width="27.375" customWidth="1" style="30" min="14085" max="14085"/>
    <col width="19" customWidth="1" style="30" min="14086" max="14086"/>
    <col width="16.5" customWidth="1" style="30" min="14087" max="14087"/>
    <col width="7.25" customWidth="1" style="30" min="14088" max="14088"/>
    <col width="7.5" customWidth="1" style="30" min="14089" max="14089"/>
    <col width="8.25" customWidth="1" style="30" min="14090" max="14337"/>
    <col width="14.875" customWidth="1" style="30" min="14338" max="14338"/>
    <col width="11.375" customWidth="1" style="30" min="14339" max="14339"/>
    <col width="12.75" customWidth="1" style="30" min="14340" max="14340"/>
    <col width="27.375" customWidth="1" style="30" min="14341" max="14341"/>
    <col width="19" customWidth="1" style="30" min="14342" max="14342"/>
    <col width="16.5" customWidth="1" style="30" min="14343" max="14343"/>
    <col width="7.25" customWidth="1" style="30" min="14344" max="14344"/>
    <col width="7.5" customWidth="1" style="30" min="14345" max="14345"/>
    <col width="8.25" customWidth="1" style="30" min="14346" max="14593"/>
    <col width="14.875" customWidth="1" style="30" min="14594" max="14594"/>
    <col width="11.375" customWidth="1" style="30" min="14595" max="14595"/>
    <col width="12.75" customWidth="1" style="30" min="14596" max="14596"/>
    <col width="27.375" customWidth="1" style="30" min="14597" max="14597"/>
    <col width="19" customWidth="1" style="30" min="14598" max="14598"/>
    <col width="16.5" customWidth="1" style="30" min="14599" max="14599"/>
    <col width="7.25" customWidth="1" style="30" min="14600" max="14600"/>
    <col width="7.5" customWidth="1" style="30" min="14601" max="14601"/>
    <col width="8.25" customWidth="1" style="30" min="14602" max="14849"/>
    <col width="14.875" customWidth="1" style="30" min="14850" max="14850"/>
    <col width="11.375" customWidth="1" style="30" min="14851" max="14851"/>
    <col width="12.75" customWidth="1" style="30" min="14852" max="14852"/>
    <col width="27.375" customWidth="1" style="30" min="14853" max="14853"/>
    <col width="19" customWidth="1" style="30" min="14854" max="14854"/>
    <col width="16.5" customWidth="1" style="30" min="14855" max="14855"/>
    <col width="7.25" customWidth="1" style="30" min="14856" max="14856"/>
    <col width="7.5" customWidth="1" style="30" min="14857" max="14857"/>
    <col width="8.25" customWidth="1" style="30" min="14858" max="15105"/>
    <col width="14.875" customWidth="1" style="30" min="15106" max="15106"/>
    <col width="11.375" customWidth="1" style="30" min="15107" max="15107"/>
    <col width="12.75" customWidth="1" style="30" min="15108" max="15108"/>
    <col width="27.375" customWidth="1" style="30" min="15109" max="15109"/>
    <col width="19" customWidth="1" style="30" min="15110" max="15110"/>
    <col width="16.5" customWidth="1" style="30" min="15111" max="15111"/>
    <col width="7.25" customWidth="1" style="30" min="15112" max="15112"/>
    <col width="7.5" customWidth="1" style="30" min="15113" max="15113"/>
    <col width="8.25" customWidth="1" style="30" min="15114" max="15361"/>
    <col width="14.875" customWidth="1" style="30" min="15362" max="15362"/>
    <col width="11.375" customWidth="1" style="30" min="15363" max="15363"/>
    <col width="12.75" customWidth="1" style="30" min="15364" max="15364"/>
    <col width="27.375" customWidth="1" style="30" min="15365" max="15365"/>
    <col width="19" customWidth="1" style="30" min="15366" max="15366"/>
    <col width="16.5" customWidth="1" style="30" min="15367" max="15367"/>
    <col width="7.25" customWidth="1" style="30" min="15368" max="15368"/>
    <col width="7.5" customWidth="1" style="30" min="15369" max="15369"/>
    <col width="8.25" customWidth="1" style="30" min="15370" max="15617"/>
    <col width="14.875" customWidth="1" style="30" min="15618" max="15618"/>
    <col width="11.375" customWidth="1" style="30" min="15619" max="15619"/>
    <col width="12.75" customWidth="1" style="30" min="15620" max="15620"/>
    <col width="27.375" customWidth="1" style="30" min="15621" max="15621"/>
    <col width="19" customWidth="1" style="30" min="15622" max="15622"/>
    <col width="16.5" customWidth="1" style="30" min="15623" max="15623"/>
    <col width="7.25" customWidth="1" style="30" min="15624" max="15624"/>
    <col width="7.5" customWidth="1" style="30" min="15625" max="15625"/>
    <col width="8.25" customWidth="1" style="30" min="15626" max="15873"/>
    <col width="14.875" customWidth="1" style="30" min="15874" max="15874"/>
    <col width="11.375" customWidth="1" style="30" min="15875" max="15875"/>
    <col width="12.75" customWidth="1" style="30" min="15876" max="15876"/>
    <col width="27.375" customWidth="1" style="30" min="15877" max="15877"/>
    <col width="19" customWidth="1" style="30" min="15878" max="15878"/>
    <col width="16.5" customWidth="1" style="30" min="15879" max="15879"/>
    <col width="7.25" customWidth="1" style="30" min="15880" max="15880"/>
    <col width="7.5" customWidth="1" style="30" min="15881" max="15881"/>
    <col width="8.25" customWidth="1" style="30" min="15882" max="16129"/>
    <col width="14.875" customWidth="1" style="30" min="16130" max="16130"/>
    <col width="11.375" customWidth="1" style="30" min="16131" max="16131"/>
    <col width="12.75" customWidth="1" style="30" min="16132" max="16132"/>
    <col width="27.375" customWidth="1" style="30" min="16133" max="16133"/>
    <col width="19" customWidth="1" style="30" min="16134" max="16134"/>
    <col width="16.5" customWidth="1" style="30" min="16135" max="16135"/>
    <col width="7.25" customWidth="1" style="30" min="16136" max="16136"/>
    <col width="7.5" customWidth="1" style="30" min="16137" max="16137"/>
    <col width="8.25" customWidth="1" style="30" min="16138" max="16384"/>
  </cols>
  <sheetData>
    <row r="1" ht="18.75" customHeight="1">
      <c r="A1" s="24" t="n"/>
      <c r="B1" s="25" t="n"/>
      <c r="C1" s="25" t="n"/>
      <c r="D1" s="26" t="n"/>
      <c r="E1" s="27" t="inlineStr">
        <is>
          <t xml:space="preserve">TẬP ĐOÀN CÔNG NGHIỆP VIỄN THÔNG QUÂN ĐỘI                  </t>
        </is>
      </c>
      <c r="F1" s="28" t="n"/>
      <c r="G1" s="25" t="n"/>
      <c r="H1" s="25" t="n"/>
      <c r="I1" s="29" t="n"/>
    </row>
    <row r="2" ht="18.75" customHeight="1">
      <c r="A2" s="31" t="n"/>
      <c r="B2" s="32" t="n"/>
      <c r="C2" s="32" t="n"/>
      <c r="D2" s="33" t="n"/>
      <c r="E2" s="32" t="inlineStr">
        <is>
          <t>TỔNG CÔNG TY GIẢI PHÁP DOANH NGHIỆP VIETTEL</t>
        </is>
      </c>
      <c r="F2" s="34" t="n"/>
      <c r="G2" s="32" t="n"/>
      <c r="H2" s="32" t="n"/>
      <c r="I2" s="35" t="n"/>
    </row>
    <row r="3">
      <c r="A3" s="31" t="n"/>
      <c r="B3" s="32" t="n"/>
      <c r="C3" s="32" t="n"/>
      <c r="D3" s="32" t="n"/>
      <c r="E3" s="32" t="n"/>
      <c r="F3" s="32" t="n"/>
      <c r="G3" s="32" t="n"/>
      <c r="H3" s="32" t="n"/>
      <c r="I3" s="35" t="n"/>
    </row>
    <row r="4">
      <c r="A4" s="31" t="n"/>
      <c r="B4" s="32" t="n"/>
      <c r="C4" s="32" t="n"/>
      <c r="D4" s="32" t="n"/>
      <c r="E4" s="32" t="n"/>
      <c r="F4" s="32" t="n"/>
      <c r="G4" s="32" t="n"/>
      <c r="H4" s="32" t="n"/>
      <c r="I4" s="35" t="n"/>
    </row>
    <row r="5">
      <c r="A5" s="31" t="n"/>
      <c r="B5" s="32" t="n"/>
      <c r="C5" s="32" t="n"/>
      <c r="D5" s="32" t="n"/>
      <c r="E5" s="32" t="n"/>
      <c r="F5" s="32" t="n"/>
      <c r="G5" s="32" t="n"/>
      <c r="H5" s="32" t="n"/>
      <c r="I5" s="35" t="n"/>
    </row>
    <row r="6">
      <c r="A6" s="31" t="n"/>
      <c r="B6" s="32" t="n"/>
      <c r="C6" s="32" t="n"/>
      <c r="D6" s="32" t="n"/>
      <c r="E6" s="32" t="n"/>
      <c r="F6" s="32" t="n"/>
      <c r="G6" s="32" t="n"/>
      <c r="H6" s="32" t="n"/>
      <c r="I6" s="35" t="n"/>
    </row>
    <row r="7">
      <c r="A7" s="31" t="n"/>
      <c r="B7" s="32" t="n"/>
      <c r="C7" s="32" t="n"/>
      <c r="D7" s="32" t="n"/>
      <c r="E7" s="32" t="n"/>
      <c r="F7" s="32" t="n"/>
      <c r="G7" s="32" t="n"/>
      <c r="H7" s="32" t="n"/>
      <c r="I7" s="35" t="n"/>
    </row>
    <row r="8">
      <c r="A8" s="31" t="n"/>
      <c r="B8" s="32" t="n"/>
      <c r="C8" s="32" t="n"/>
      <c r="D8" s="32" t="n"/>
      <c r="E8" s="32" t="n"/>
      <c r="F8" s="32" t="n"/>
      <c r="G8" s="32" t="n"/>
      <c r="H8" s="32" t="n"/>
      <c r="I8" s="35" t="n"/>
    </row>
    <row r="9" ht="23.25" customHeight="1">
      <c r="A9" s="201" t="inlineStr">
        <is>
          <t>&lt;VOFFICE KHA&gt;</t>
        </is>
      </c>
      <c r="I9" s="202" t="n"/>
    </row>
    <row r="10" ht="30" customHeight="1">
      <c r="A10" s="203" t="inlineStr">
        <is>
          <t>TÀI LIỆU KỊCH BẢN KIỂM THỬ CHỨC NĂNG</t>
        </is>
      </c>
      <c r="I10" s="202" t="n"/>
      <c r="J10" s="36" t="n"/>
    </row>
    <row r="11" ht="26.25" customHeight="1">
      <c r="A11" s="204" t="inlineStr">
        <is>
          <t>NV_08 - Thêm hạn xử lý ở Danh sách người cùng nhận</t>
        </is>
      </c>
      <c r="I11" s="202" t="n"/>
    </row>
    <row r="12">
      <c r="A12" s="31" t="n"/>
      <c r="B12" s="32" t="n"/>
      <c r="C12" s="32" t="n"/>
      <c r="D12" s="32" t="n"/>
      <c r="E12" s="32" t="n"/>
      <c r="F12" s="32" t="n"/>
      <c r="G12" s="32" t="n"/>
      <c r="H12" s="32" t="n"/>
      <c r="I12" s="35" t="n"/>
    </row>
    <row r="13">
      <c r="A13" s="31" t="n"/>
      <c r="B13" s="32" t="n"/>
      <c r="C13" s="32" t="n"/>
      <c r="D13" s="32" t="n"/>
      <c r="E13" s="32" t="n"/>
      <c r="F13" s="32" t="n"/>
      <c r="G13" s="32" t="n"/>
      <c r="H13" s="32" t="n"/>
      <c r="I13" s="35" t="n"/>
    </row>
    <row r="14">
      <c r="A14" s="31" t="n"/>
      <c r="B14" s="32" t="n"/>
      <c r="C14" s="32" t="n"/>
      <c r="D14" s="32" t="n"/>
      <c r="E14" s="32" t="n"/>
      <c r="F14" s="32" t="n"/>
      <c r="G14" s="32" t="n"/>
      <c r="H14" s="32" t="n"/>
      <c r="I14" s="35" t="n"/>
    </row>
    <row r="15">
      <c r="A15" s="31" t="n"/>
      <c r="B15" s="32" t="n"/>
      <c r="C15" s="32" t="n"/>
      <c r="D15" s="32" t="n"/>
      <c r="E15" s="32" t="n"/>
      <c r="F15" s="37" t="n"/>
      <c r="G15" s="32" t="n"/>
      <c r="H15" s="32" t="n"/>
      <c r="I15" s="35" t="n"/>
    </row>
    <row r="16" ht="17.25" customHeight="1">
      <c r="A16" s="31" t="n"/>
      <c r="B16" s="32" t="n"/>
      <c r="C16" s="38" t="inlineStr">
        <is>
          <t xml:space="preserve">Mã dự án   </t>
        </is>
      </c>
      <c r="D16" s="38" t="inlineStr">
        <is>
          <t>:</t>
        </is>
      </c>
      <c r="E16" s="39" t="n"/>
      <c r="F16" s="32" t="n"/>
      <c r="G16" s="32" t="n"/>
      <c r="H16" s="32" t="n"/>
      <c r="I16" s="35" t="n"/>
    </row>
    <row r="17">
      <c r="A17" s="40" t="n"/>
      <c r="B17" s="37" t="n"/>
      <c r="C17" s="38" t="inlineStr">
        <is>
          <t>Mã tài liệu</t>
        </is>
      </c>
      <c r="D17" s="38" t="inlineStr">
        <is>
          <t>:</t>
        </is>
      </c>
      <c r="E17" s="39" t="n"/>
      <c r="F17" s="37" t="n"/>
      <c r="G17" s="37" t="n"/>
      <c r="H17" s="37" t="n"/>
      <c r="I17" s="41" t="n"/>
    </row>
    <row r="18" ht="18.75" customHeight="1">
      <c r="A18" s="31" t="n"/>
      <c r="B18" s="32" t="n"/>
      <c r="C18" s="38" t="n"/>
      <c r="D18" s="38" t="n"/>
      <c r="E18" s="42" t="n"/>
      <c r="F18" s="32" t="n"/>
      <c r="G18" s="32" t="n"/>
      <c r="H18" s="32" t="n"/>
      <c r="I18" s="35" t="n"/>
    </row>
    <row r="19" ht="18.75" customHeight="1">
      <c r="A19" s="31" t="n"/>
      <c r="B19" s="32" t="n"/>
      <c r="C19" s="38" t="n"/>
      <c r="D19" s="38" t="n"/>
      <c r="E19" s="42" t="n"/>
      <c r="F19" s="32" t="n"/>
      <c r="G19" s="32" t="n"/>
      <c r="H19" s="32" t="n"/>
      <c r="I19" s="35" t="n"/>
    </row>
    <row r="20" ht="13.5" customHeight="1">
      <c r="A20" s="43" t="inlineStr">
        <is>
          <t>Người lập:</t>
        </is>
      </c>
      <c r="B20" s="38" t="n"/>
      <c r="C20" s="44" t="n"/>
      <c r="D20" s="38" t="n"/>
      <c r="E20" s="38" t="n"/>
      <c r="F20" s="38" t="n"/>
      <c r="G20" s="38" t="n"/>
      <c r="H20" s="38" t="n"/>
      <c r="I20" s="45" t="n"/>
    </row>
    <row r="21">
      <c r="A21" s="46" t="n"/>
      <c r="B21" s="38" t="n"/>
      <c r="C21" s="38" t="inlineStr">
        <is>
          <t>&lt;Tên người nhập&gt;</t>
        </is>
      </c>
      <c r="D21" s="38" t="n"/>
      <c r="F21" s="38" t="inlineStr">
        <is>
          <t>&lt;Ngày lập&gt;</t>
        </is>
      </c>
      <c r="H21" s="47" t="n"/>
      <c r="I21" s="45" t="n"/>
    </row>
    <row r="22">
      <c r="A22" s="48" t="n"/>
      <c r="B22" s="38" t="n"/>
      <c r="C22" s="38" t="inlineStr">
        <is>
          <t>&lt;Chức vụ&gt;</t>
        </is>
      </c>
      <c r="D22" s="38" t="n"/>
      <c r="F22" s="38" t="n"/>
      <c r="H22" s="38" t="n"/>
      <c r="I22" s="45" t="n"/>
    </row>
    <row r="23">
      <c r="A23" s="46" t="n"/>
      <c r="B23" s="38" t="n"/>
      <c r="C23" s="38" t="n"/>
      <c r="D23" s="38" t="n"/>
      <c r="F23" s="38" t="n"/>
      <c r="H23" s="38" t="n"/>
      <c r="I23" s="45" t="n"/>
    </row>
    <row r="24" ht="13.5" customHeight="1">
      <c r="A24" s="43" t="n"/>
      <c r="B24" s="38" t="n"/>
      <c r="C24" s="38" t="n"/>
      <c r="D24" s="38" t="n"/>
      <c r="F24" s="38" t="n"/>
      <c r="H24" s="38" t="n"/>
      <c r="I24" s="45" t="n"/>
    </row>
    <row r="25" ht="13.5" customHeight="1">
      <c r="A25" s="43" t="n"/>
      <c r="B25" s="38" t="n"/>
      <c r="C25" s="38" t="n"/>
      <c r="D25" s="38" t="n"/>
      <c r="F25" s="38" t="n"/>
      <c r="H25" s="38" t="n"/>
      <c r="I25" s="45" t="n"/>
    </row>
    <row r="26" ht="13.5" customHeight="1">
      <c r="A26" s="43" t="inlineStr">
        <is>
          <t>Người kiểm tra:</t>
        </is>
      </c>
      <c r="B26" s="38" t="n"/>
      <c r="C26" s="38" t="n"/>
      <c r="D26" s="38" t="n"/>
      <c r="F26" s="38" t="n"/>
      <c r="H26" s="38" t="n"/>
      <c r="I26" s="45" t="n"/>
    </row>
    <row r="27">
      <c r="A27" s="46" t="n"/>
      <c r="B27" s="38" t="n"/>
      <c r="C27" s="44" t="inlineStr">
        <is>
          <t>&lt;Tên người kiểm tra</t>
        </is>
      </c>
      <c r="D27" s="38" t="n"/>
      <c r="F27" s="38" t="inlineStr">
        <is>
          <t>&lt;Ngày kiểm tra&gt;</t>
        </is>
      </c>
      <c r="H27" s="38" t="n"/>
      <c r="I27" s="45" t="n"/>
    </row>
    <row r="28">
      <c r="A28" s="46" t="n"/>
      <c r="B28" s="38" t="n"/>
      <c r="C28" s="38" t="inlineStr">
        <is>
          <t>&lt;Chức vụ&gt;</t>
        </is>
      </c>
      <c r="D28" s="38" t="n"/>
      <c r="F28" s="47" t="n"/>
      <c r="H28" s="38" t="n"/>
      <c r="I28" s="45" t="n"/>
    </row>
    <row r="29">
      <c r="A29" s="46" t="n"/>
      <c r="B29" s="38" t="n"/>
      <c r="C29" s="38" t="n"/>
      <c r="D29" s="38" t="n"/>
      <c r="F29" s="38" t="n"/>
      <c r="H29" s="38" t="n"/>
      <c r="I29" s="45" t="n"/>
    </row>
    <row r="30">
      <c r="A30" s="46" t="n"/>
      <c r="B30" s="38" t="n"/>
      <c r="C30" s="38" t="n"/>
      <c r="D30" s="38" t="n"/>
      <c r="F30" s="38" t="n"/>
      <c r="H30" s="38" t="n"/>
      <c r="I30" s="45" t="n"/>
    </row>
    <row r="31">
      <c r="A31" s="46" t="n"/>
      <c r="B31" s="38" t="n"/>
      <c r="C31" s="38" t="n"/>
      <c r="D31" s="38" t="n"/>
      <c r="F31" s="38" t="n"/>
      <c r="H31" s="38" t="n"/>
      <c r="I31" s="45" t="n"/>
    </row>
    <row r="32" ht="13.5" customHeight="1">
      <c r="A32" s="43" t="inlineStr">
        <is>
          <t>Người phê duyệt:</t>
        </is>
      </c>
      <c r="B32" s="38" t="n"/>
      <c r="C32" s="38" t="n"/>
      <c r="D32" s="38" t="n"/>
      <c r="F32" s="38" t="n"/>
      <c r="H32" s="38" t="n"/>
      <c r="I32" s="45" t="n"/>
    </row>
    <row r="33">
      <c r="A33" s="49" t="n"/>
      <c r="B33" s="38" t="n"/>
      <c r="C33" s="44" t="inlineStr">
        <is>
          <t>&lt;Tên người phê duyệt&gt;</t>
        </is>
      </c>
      <c r="D33" s="38" t="n"/>
      <c r="F33" s="38" t="inlineStr">
        <is>
          <t>&lt;Ngày phê duyệt&gt;</t>
        </is>
      </c>
      <c r="H33" s="38" t="n"/>
      <c r="I33" s="45" t="n"/>
    </row>
    <row r="34">
      <c r="A34" s="49" t="n"/>
      <c r="B34" s="38" t="n"/>
      <c r="C34" s="38" t="inlineStr">
        <is>
          <t>&lt;Chức vụ&gt;</t>
        </is>
      </c>
      <c r="D34" s="38" t="n"/>
      <c r="E34" s="38" t="n"/>
      <c r="F34" s="38" t="n"/>
      <c r="G34" s="38" t="n"/>
      <c r="H34" s="38" t="n"/>
      <c r="I34" s="45" t="n"/>
    </row>
    <row r="35">
      <c r="A35" s="50" t="n"/>
      <c r="B35" s="51" t="n"/>
      <c r="C35" s="51" t="n"/>
      <c r="D35" s="51" t="n"/>
      <c r="E35" s="51" t="n"/>
      <c r="F35" s="51" t="n"/>
      <c r="G35" s="51" t="n"/>
      <c r="H35" s="51" t="n"/>
      <c r="I35" s="52" t="n"/>
    </row>
    <row r="36">
      <c r="A36" s="38" t="n"/>
      <c r="B36" s="38" t="n"/>
      <c r="C36" s="38" t="n"/>
      <c r="D36" s="38" t="n"/>
      <c r="E36" s="38" t="n"/>
      <c r="F36" s="38" t="n"/>
      <c r="G36" s="38" t="n"/>
      <c r="H36" s="38" t="n"/>
    </row>
    <row r="37" ht="25.5" customHeight="1">
      <c r="A37" s="155" t="inlineStr">
        <is>
          <t>BẢNG GHI NHẬN THAY ĐỔI TÀI LIỆU</t>
        </is>
      </c>
    </row>
    <row r="38">
      <c r="A38" s="38" t="n"/>
      <c r="B38" s="38" t="n"/>
      <c r="C38" s="38" t="n"/>
      <c r="D38" s="38" t="n"/>
      <c r="E38" s="38" t="n"/>
      <c r="F38" s="38" t="n"/>
      <c r="G38" s="38" t="n"/>
    </row>
    <row r="39" ht="25.5" customHeight="1">
      <c r="A39" s="53" t="inlineStr">
        <is>
          <t>Ngày thay đổi</t>
        </is>
      </c>
      <c r="B39" s="53" t="inlineStr">
        <is>
          <t>Vị trí thay đổi</t>
        </is>
      </c>
      <c r="C39" s="53" t="inlineStr">
        <is>
          <t>Lý do</t>
        </is>
      </c>
      <c r="D39" s="53" t="inlineStr">
        <is>
          <t>Nguồn gốc</t>
        </is>
      </c>
      <c r="E39" s="53" t="inlineStr">
        <is>
          <t>Phiên bản cũ</t>
        </is>
      </c>
      <c r="F39" s="53" t="inlineStr">
        <is>
          <t>Mô tả thay đổi</t>
        </is>
      </c>
      <c r="G39" s="156" t="inlineStr">
        <is>
          <t>Phiên bản mới</t>
        </is>
      </c>
      <c r="H39" s="205" t="n"/>
      <c r="I39" s="206" t="n"/>
    </row>
    <row r="40" ht="15" customHeight="1">
      <c r="A40" s="54" t="n"/>
      <c r="B40" s="55" t="n"/>
      <c r="C40" s="56" t="n"/>
      <c r="D40" s="56" t="n"/>
      <c r="E40" s="56" t="n"/>
      <c r="F40" s="56" t="n"/>
      <c r="G40" s="145" t="n"/>
      <c r="H40" s="205" t="n"/>
      <c r="I40" s="206" t="n"/>
    </row>
    <row r="41" ht="15" customHeight="1">
      <c r="A41" s="56" t="n"/>
      <c r="B41" s="56" t="n"/>
      <c r="C41" s="56" t="n"/>
      <c r="D41" s="56" t="n"/>
      <c r="E41" s="56" t="n"/>
      <c r="F41" s="56" t="n"/>
      <c r="G41" s="145" t="n"/>
      <c r="H41" s="205" t="n"/>
      <c r="I41" s="206" t="n"/>
    </row>
    <row r="42" ht="15" customHeight="1">
      <c r="A42" s="56" t="n"/>
      <c r="B42" s="56" t="n"/>
      <c r="C42" s="56" t="n"/>
      <c r="D42" s="56" t="n"/>
      <c r="E42" s="56" t="n"/>
      <c r="F42" s="56" t="n"/>
      <c r="G42" s="145" t="n"/>
      <c r="H42" s="205" t="n"/>
      <c r="I42" s="206" t="n"/>
    </row>
    <row r="43" ht="15" customHeight="1">
      <c r="A43" s="56" t="n"/>
      <c r="B43" s="56" t="n"/>
      <c r="C43" s="56" t="n"/>
      <c r="D43" s="56" t="n"/>
      <c r="E43" s="56" t="n"/>
      <c r="F43" s="56" t="n"/>
      <c r="G43" s="145" t="n"/>
      <c r="H43" s="205" t="n"/>
      <c r="I43" s="206" t="n"/>
    </row>
    <row r="44" ht="15" customHeight="1">
      <c r="A44" s="56" t="n"/>
      <c r="B44" s="56" t="n"/>
      <c r="C44" s="56" t="n"/>
      <c r="D44" s="56" t="n"/>
      <c r="E44" s="56" t="n"/>
      <c r="F44" s="56" t="n"/>
      <c r="G44" s="145" t="n"/>
      <c r="H44" s="205" t="n"/>
      <c r="I44" s="206" t="n"/>
    </row>
    <row r="45" ht="15" customHeight="1">
      <c r="A45" s="56" t="n"/>
      <c r="B45" s="56" t="n"/>
      <c r="C45" s="56" t="n"/>
      <c r="D45" s="56" t="n"/>
      <c r="E45" s="56" t="n"/>
      <c r="F45" s="56" t="n"/>
      <c r="G45" s="145" t="n"/>
      <c r="H45" s="205" t="n"/>
      <c r="I45" s="206" t="n"/>
    </row>
    <row r="46" ht="15" customHeight="1">
      <c r="A46" s="56" t="n"/>
      <c r="B46" s="56" t="n"/>
      <c r="C46" s="56" t="n"/>
      <c r="D46" s="56" t="n"/>
      <c r="E46" s="56" t="n"/>
      <c r="F46" s="56" t="n"/>
      <c r="G46" s="145" t="n"/>
      <c r="H46" s="205" t="n"/>
      <c r="I46" s="206" t="n"/>
    </row>
    <row r="47" ht="15" customHeight="1">
      <c r="A47" s="56" t="n"/>
      <c r="B47" s="56" t="n"/>
      <c r="C47" s="56" t="n"/>
      <c r="D47" s="56" t="n"/>
      <c r="E47" s="56" t="n"/>
      <c r="F47" s="56" t="n"/>
      <c r="G47" s="145" t="n"/>
      <c r="H47" s="205" t="n"/>
      <c r="I47" s="206" t="n"/>
    </row>
    <row r="48" ht="15" customHeight="1">
      <c r="A48" s="56" t="n"/>
      <c r="B48" s="56" t="n"/>
      <c r="C48" s="56" t="n"/>
      <c r="D48" s="56" t="n"/>
      <c r="E48" s="56" t="n"/>
      <c r="F48" s="56" t="n"/>
      <c r="G48" s="145" t="n"/>
      <c r="H48" s="205" t="n"/>
      <c r="I48" s="206" t="n"/>
    </row>
    <row r="49" ht="15" customHeight="1">
      <c r="A49" s="56" t="n"/>
      <c r="B49" s="56" t="n"/>
      <c r="C49" s="56" t="n"/>
      <c r="D49" s="56" t="n"/>
      <c r="E49" s="56" t="n"/>
      <c r="F49" s="56" t="n"/>
      <c r="G49" s="145" t="n"/>
      <c r="H49" s="205" t="n"/>
      <c r="I49" s="206" t="n"/>
    </row>
    <row r="50" ht="15" customHeight="1">
      <c r="A50" s="56" t="n"/>
      <c r="B50" s="56" t="n"/>
      <c r="C50" s="56" t="n"/>
      <c r="D50" s="56" t="n"/>
      <c r="E50" s="56" t="n"/>
      <c r="F50" s="56" t="n"/>
      <c r="G50" s="145" t="n"/>
      <c r="H50" s="205" t="n"/>
      <c r="I50" s="206" t="n"/>
    </row>
  </sheetData>
  <mergeCells count="16">
    <mergeCell ref="G47:I47"/>
    <mergeCell ref="G50:I50"/>
    <mergeCell ref="G42:I42"/>
    <mergeCell ref="A11:I11"/>
    <mergeCell ref="A10:I10"/>
    <mergeCell ref="G41:I41"/>
    <mergeCell ref="G44:I44"/>
    <mergeCell ref="G45:I45"/>
    <mergeCell ref="G46:I46"/>
    <mergeCell ref="G39:I39"/>
    <mergeCell ref="G40:I40"/>
    <mergeCell ref="A9:I9"/>
    <mergeCell ref="G49:I49"/>
    <mergeCell ref="G48:I48"/>
    <mergeCell ref="G43:I43"/>
    <mergeCell ref="A37:G3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E28" sqref="E28"/>
    </sheetView>
  </sheetViews>
  <sheetFormatPr baseColWidth="8" defaultColWidth="8.25" defaultRowHeight="12.75"/>
  <cols>
    <col width="5" customWidth="1" style="57" min="1" max="1"/>
    <col width="25.25" customWidth="1" style="57" min="2" max="2"/>
    <col width="36" customWidth="1" style="57" min="3" max="3"/>
    <col width="11.375" customWidth="1" style="57" min="4" max="4"/>
    <col width="32.375" customWidth="1" style="57" min="5" max="5"/>
    <col width="8.25" customWidth="1" style="57" min="6" max="256"/>
    <col width="5" customWidth="1" style="57" min="257" max="257"/>
    <col width="25.25" customWidth="1" style="57" min="258" max="258"/>
    <col width="36" customWidth="1" style="57" min="259" max="259"/>
    <col width="11.375" customWidth="1" style="57" min="260" max="260"/>
    <col width="32.375" customWidth="1" style="57" min="261" max="261"/>
    <col width="8.25" customWidth="1" style="57" min="262" max="512"/>
    <col width="5" customWidth="1" style="57" min="513" max="513"/>
    <col width="25.25" customWidth="1" style="57" min="514" max="514"/>
    <col width="36" customWidth="1" style="57" min="515" max="515"/>
    <col width="11.375" customWidth="1" style="57" min="516" max="516"/>
    <col width="32.375" customWidth="1" style="57" min="517" max="517"/>
    <col width="8.25" customWidth="1" style="57" min="518" max="768"/>
    <col width="5" customWidth="1" style="57" min="769" max="769"/>
    <col width="25.25" customWidth="1" style="57" min="770" max="770"/>
    <col width="36" customWidth="1" style="57" min="771" max="771"/>
    <col width="11.375" customWidth="1" style="57" min="772" max="772"/>
    <col width="32.375" customWidth="1" style="57" min="773" max="773"/>
    <col width="8.25" customWidth="1" style="57" min="774" max="1024"/>
    <col width="5" customWidth="1" style="57" min="1025" max="1025"/>
    <col width="25.25" customWidth="1" style="57" min="1026" max="1026"/>
    <col width="36" customWidth="1" style="57" min="1027" max="1027"/>
    <col width="11.375" customWidth="1" style="57" min="1028" max="1028"/>
    <col width="32.375" customWidth="1" style="57" min="1029" max="1029"/>
    <col width="8.25" customWidth="1" style="57" min="1030" max="1280"/>
    <col width="5" customWidth="1" style="57" min="1281" max="1281"/>
    <col width="25.25" customWidth="1" style="57" min="1282" max="1282"/>
    <col width="36" customWidth="1" style="57" min="1283" max="1283"/>
    <col width="11.375" customWidth="1" style="57" min="1284" max="1284"/>
    <col width="32.375" customWidth="1" style="57" min="1285" max="1285"/>
    <col width="8.25" customWidth="1" style="57" min="1286" max="1536"/>
    <col width="5" customWidth="1" style="57" min="1537" max="1537"/>
    <col width="25.25" customWidth="1" style="57" min="1538" max="1538"/>
    <col width="36" customWidth="1" style="57" min="1539" max="1539"/>
    <col width="11.375" customWidth="1" style="57" min="1540" max="1540"/>
    <col width="32.375" customWidth="1" style="57" min="1541" max="1541"/>
    <col width="8.25" customWidth="1" style="57" min="1542" max="1792"/>
    <col width="5" customWidth="1" style="57" min="1793" max="1793"/>
    <col width="25.25" customWidth="1" style="57" min="1794" max="1794"/>
    <col width="36" customWidth="1" style="57" min="1795" max="1795"/>
    <col width="11.375" customWidth="1" style="57" min="1796" max="1796"/>
    <col width="32.375" customWidth="1" style="57" min="1797" max="1797"/>
    <col width="8.25" customWidth="1" style="57" min="1798" max="2048"/>
    <col width="5" customWidth="1" style="57" min="2049" max="2049"/>
    <col width="25.25" customWidth="1" style="57" min="2050" max="2050"/>
    <col width="36" customWidth="1" style="57" min="2051" max="2051"/>
    <col width="11.375" customWidth="1" style="57" min="2052" max="2052"/>
    <col width="32.375" customWidth="1" style="57" min="2053" max="2053"/>
    <col width="8.25" customWidth="1" style="57" min="2054" max="2304"/>
    <col width="5" customWidth="1" style="57" min="2305" max="2305"/>
    <col width="25.25" customWidth="1" style="57" min="2306" max="2306"/>
    <col width="36" customWidth="1" style="57" min="2307" max="2307"/>
    <col width="11.375" customWidth="1" style="57" min="2308" max="2308"/>
    <col width="32.375" customWidth="1" style="57" min="2309" max="2309"/>
    <col width="8.25" customWidth="1" style="57" min="2310" max="2560"/>
    <col width="5" customWidth="1" style="57" min="2561" max="2561"/>
    <col width="25.25" customWidth="1" style="57" min="2562" max="2562"/>
    <col width="36" customWidth="1" style="57" min="2563" max="2563"/>
    <col width="11.375" customWidth="1" style="57" min="2564" max="2564"/>
    <col width="32.375" customWidth="1" style="57" min="2565" max="2565"/>
    <col width="8.25" customWidth="1" style="57" min="2566" max="2816"/>
    <col width="5" customWidth="1" style="57" min="2817" max="2817"/>
    <col width="25.25" customWidth="1" style="57" min="2818" max="2818"/>
    <col width="36" customWidth="1" style="57" min="2819" max="2819"/>
    <col width="11.375" customWidth="1" style="57" min="2820" max="2820"/>
    <col width="32.375" customWidth="1" style="57" min="2821" max="2821"/>
    <col width="8.25" customWidth="1" style="57" min="2822" max="3072"/>
    <col width="5" customWidth="1" style="57" min="3073" max="3073"/>
    <col width="25.25" customWidth="1" style="57" min="3074" max="3074"/>
    <col width="36" customWidth="1" style="57" min="3075" max="3075"/>
    <col width="11.375" customWidth="1" style="57" min="3076" max="3076"/>
    <col width="32.375" customWidth="1" style="57" min="3077" max="3077"/>
    <col width="8.25" customWidth="1" style="57" min="3078" max="3328"/>
    <col width="5" customWidth="1" style="57" min="3329" max="3329"/>
    <col width="25.25" customWidth="1" style="57" min="3330" max="3330"/>
    <col width="36" customWidth="1" style="57" min="3331" max="3331"/>
    <col width="11.375" customWidth="1" style="57" min="3332" max="3332"/>
    <col width="32.375" customWidth="1" style="57" min="3333" max="3333"/>
    <col width="8.25" customWidth="1" style="57" min="3334" max="3584"/>
    <col width="5" customWidth="1" style="57" min="3585" max="3585"/>
    <col width="25.25" customWidth="1" style="57" min="3586" max="3586"/>
    <col width="36" customWidth="1" style="57" min="3587" max="3587"/>
    <col width="11.375" customWidth="1" style="57" min="3588" max="3588"/>
    <col width="32.375" customWidth="1" style="57" min="3589" max="3589"/>
    <col width="8.25" customWidth="1" style="57" min="3590" max="3840"/>
    <col width="5" customWidth="1" style="57" min="3841" max="3841"/>
    <col width="25.25" customWidth="1" style="57" min="3842" max="3842"/>
    <col width="36" customWidth="1" style="57" min="3843" max="3843"/>
    <col width="11.375" customWidth="1" style="57" min="3844" max="3844"/>
    <col width="32.375" customWidth="1" style="57" min="3845" max="3845"/>
    <col width="8.25" customWidth="1" style="57" min="3846" max="4096"/>
    <col width="5" customWidth="1" style="57" min="4097" max="4097"/>
    <col width="25.25" customWidth="1" style="57" min="4098" max="4098"/>
    <col width="36" customWidth="1" style="57" min="4099" max="4099"/>
    <col width="11.375" customWidth="1" style="57" min="4100" max="4100"/>
    <col width="32.375" customWidth="1" style="57" min="4101" max="4101"/>
    <col width="8.25" customWidth="1" style="57" min="4102" max="4352"/>
    <col width="5" customWidth="1" style="57" min="4353" max="4353"/>
    <col width="25.25" customWidth="1" style="57" min="4354" max="4354"/>
    <col width="36" customWidth="1" style="57" min="4355" max="4355"/>
    <col width="11.375" customWidth="1" style="57" min="4356" max="4356"/>
    <col width="32.375" customWidth="1" style="57" min="4357" max="4357"/>
    <col width="8.25" customWidth="1" style="57" min="4358" max="4608"/>
    <col width="5" customWidth="1" style="57" min="4609" max="4609"/>
    <col width="25.25" customWidth="1" style="57" min="4610" max="4610"/>
    <col width="36" customWidth="1" style="57" min="4611" max="4611"/>
    <col width="11.375" customWidth="1" style="57" min="4612" max="4612"/>
    <col width="32.375" customWidth="1" style="57" min="4613" max="4613"/>
    <col width="8.25" customWidth="1" style="57" min="4614" max="4864"/>
    <col width="5" customWidth="1" style="57" min="4865" max="4865"/>
    <col width="25.25" customWidth="1" style="57" min="4866" max="4866"/>
    <col width="36" customWidth="1" style="57" min="4867" max="4867"/>
    <col width="11.375" customWidth="1" style="57" min="4868" max="4868"/>
    <col width="32.375" customWidth="1" style="57" min="4869" max="4869"/>
    <col width="8.25" customWidth="1" style="57" min="4870" max="5120"/>
    <col width="5" customWidth="1" style="57" min="5121" max="5121"/>
    <col width="25.25" customWidth="1" style="57" min="5122" max="5122"/>
    <col width="36" customWidth="1" style="57" min="5123" max="5123"/>
    <col width="11.375" customWidth="1" style="57" min="5124" max="5124"/>
    <col width="32.375" customWidth="1" style="57" min="5125" max="5125"/>
    <col width="8.25" customWidth="1" style="57" min="5126" max="5376"/>
    <col width="5" customWidth="1" style="57" min="5377" max="5377"/>
    <col width="25.25" customWidth="1" style="57" min="5378" max="5378"/>
    <col width="36" customWidth="1" style="57" min="5379" max="5379"/>
    <col width="11.375" customWidth="1" style="57" min="5380" max="5380"/>
    <col width="32.375" customWidth="1" style="57" min="5381" max="5381"/>
    <col width="8.25" customWidth="1" style="57" min="5382" max="5632"/>
    <col width="5" customWidth="1" style="57" min="5633" max="5633"/>
    <col width="25.25" customWidth="1" style="57" min="5634" max="5634"/>
    <col width="36" customWidth="1" style="57" min="5635" max="5635"/>
    <col width="11.375" customWidth="1" style="57" min="5636" max="5636"/>
    <col width="32.375" customWidth="1" style="57" min="5637" max="5637"/>
    <col width="8.25" customWidth="1" style="57" min="5638" max="5888"/>
    <col width="5" customWidth="1" style="57" min="5889" max="5889"/>
    <col width="25.25" customWidth="1" style="57" min="5890" max="5890"/>
    <col width="36" customWidth="1" style="57" min="5891" max="5891"/>
    <col width="11.375" customWidth="1" style="57" min="5892" max="5892"/>
    <col width="32.375" customWidth="1" style="57" min="5893" max="5893"/>
    <col width="8.25" customWidth="1" style="57" min="5894" max="6144"/>
    <col width="5" customWidth="1" style="57" min="6145" max="6145"/>
    <col width="25.25" customWidth="1" style="57" min="6146" max="6146"/>
    <col width="36" customWidth="1" style="57" min="6147" max="6147"/>
    <col width="11.375" customWidth="1" style="57" min="6148" max="6148"/>
    <col width="32.375" customWidth="1" style="57" min="6149" max="6149"/>
    <col width="8.25" customWidth="1" style="57" min="6150" max="6400"/>
    <col width="5" customWidth="1" style="57" min="6401" max="6401"/>
    <col width="25.25" customWidth="1" style="57" min="6402" max="6402"/>
    <col width="36" customWidth="1" style="57" min="6403" max="6403"/>
    <col width="11.375" customWidth="1" style="57" min="6404" max="6404"/>
    <col width="32.375" customWidth="1" style="57" min="6405" max="6405"/>
    <col width="8.25" customWidth="1" style="57" min="6406" max="6656"/>
    <col width="5" customWidth="1" style="57" min="6657" max="6657"/>
    <col width="25.25" customWidth="1" style="57" min="6658" max="6658"/>
    <col width="36" customWidth="1" style="57" min="6659" max="6659"/>
    <col width="11.375" customWidth="1" style="57" min="6660" max="6660"/>
    <col width="32.375" customWidth="1" style="57" min="6661" max="6661"/>
    <col width="8.25" customWidth="1" style="57" min="6662" max="6912"/>
    <col width="5" customWidth="1" style="57" min="6913" max="6913"/>
    <col width="25.25" customWidth="1" style="57" min="6914" max="6914"/>
    <col width="36" customWidth="1" style="57" min="6915" max="6915"/>
    <col width="11.375" customWidth="1" style="57" min="6916" max="6916"/>
    <col width="32.375" customWidth="1" style="57" min="6917" max="6917"/>
    <col width="8.25" customWidth="1" style="57" min="6918" max="7168"/>
    <col width="5" customWidth="1" style="57" min="7169" max="7169"/>
    <col width="25.25" customWidth="1" style="57" min="7170" max="7170"/>
    <col width="36" customWidth="1" style="57" min="7171" max="7171"/>
    <col width="11.375" customWidth="1" style="57" min="7172" max="7172"/>
    <col width="32.375" customWidth="1" style="57" min="7173" max="7173"/>
    <col width="8.25" customWidth="1" style="57" min="7174" max="7424"/>
    <col width="5" customWidth="1" style="57" min="7425" max="7425"/>
    <col width="25.25" customWidth="1" style="57" min="7426" max="7426"/>
    <col width="36" customWidth="1" style="57" min="7427" max="7427"/>
    <col width="11.375" customWidth="1" style="57" min="7428" max="7428"/>
    <col width="32.375" customWidth="1" style="57" min="7429" max="7429"/>
    <col width="8.25" customWidth="1" style="57" min="7430" max="7680"/>
    <col width="5" customWidth="1" style="57" min="7681" max="7681"/>
    <col width="25.25" customWidth="1" style="57" min="7682" max="7682"/>
    <col width="36" customWidth="1" style="57" min="7683" max="7683"/>
    <col width="11.375" customWidth="1" style="57" min="7684" max="7684"/>
    <col width="32.375" customWidth="1" style="57" min="7685" max="7685"/>
    <col width="8.25" customWidth="1" style="57" min="7686" max="7936"/>
    <col width="5" customWidth="1" style="57" min="7937" max="7937"/>
    <col width="25.25" customWidth="1" style="57" min="7938" max="7938"/>
    <col width="36" customWidth="1" style="57" min="7939" max="7939"/>
    <col width="11.375" customWidth="1" style="57" min="7940" max="7940"/>
    <col width="32.375" customWidth="1" style="57" min="7941" max="7941"/>
    <col width="8.25" customWidth="1" style="57" min="7942" max="8192"/>
    <col width="5" customWidth="1" style="57" min="8193" max="8193"/>
    <col width="25.25" customWidth="1" style="57" min="8194" max="8194"/>
    <col width="36" customWidth="1" style="57" min="8195" max="8195"/>
    <col width="11.375" customWidth="1" style="57" min="8196" max="8196"/>
    <col width="32.375" customWidth="1" style="57" min="8197" max="8197"/>
    <col width="8.25" customWidth="1" style="57" min="8198" max="8448"/>
    <col width="5" customWidth="1" style="57" min="8449" max="8449"/>
    <col width="25.25" customWidth="1" style="57" min="8450" max="8450"/>
    <col width="36" customWidth="1" style="57" min="8451" max="8451"/>
    <col width="11.375" customWidth="1" style="57" min="8452" max="8452"/>
    <col width="32.375" customWidth="1" style="57" min="8453" max="8453"/>
    <col width="8.25" customWidth="1" style="57" min="8454" max="8704"/>
    <col width="5" customWidth="1" style="57" min="8705" max="8705"/>
    <col width="25.25" customWidth="1" style="57" min="8706" max="8706"/>
    <col width="36" customWidth="1" style="57" min="8707" max="8707"/>
    <col width="11.375" customWidth="1" style="57" min="8708" max="8708"/>
    <col width="32.375" customWidth="1" style="57" min="8709" max="8709"/>
    <col width="8.25" customWidth="1" style="57" min="8710" max="8960"/>
    <col width="5" customWidth="1" style="57" min="8961" max="8961"/>
    <col width="25.25" customWidth="1" style="57" min="8962" max="8962"/>
    <col width="36" customWidth="1" style="57" min="8963" max="8963"/>
    <col width="11.375" customWidth="1" style="57" min="8964" max="8964"/>
    <col width="32.375" customWidth="1" style="57" min="8965" max="8965"/>
    <col width="8.25" customWidth="1" style="57" min="8966" max="9216"/>
    <col width="5" customWidth="1" style="57" min="9217" max="9217"/>
    <col width="25.25" customWidth="1" style="57" min="9218" max="9218"/>
    <col width="36" customWidth="1" style="57" min="9219" max="9219"/>
    <col width="11.375" customWidth="1" style="57" min="9220" max="9220"/>
    <col width="32.375" customWidth="1" style="57" min="9221" max="9221"/>
    <col width="8.25" customWidth="1" style="57" min="9222" max="9472"/>
    <col width="5" customWidth="1" style="57" min="9473" max="9473"/>
    <col width="25.25" customWidth="1" style="57" min="9474" max="9474"/>
    <col width="36" customWidth="1" style="57" min="9475" max="9475"/>
    <col width="11.375" customWidth="1" style="57" min="9476" max="9476"/>
    <col width="32.375" customWidth="1" style="57" min="9477" max="9477"/>
    <col width="8.25" customWidth="1" style="57" min="9478" max="9728"/>
    <col width="5" customWidth="1" style="57" min="9729" max="9729"/>
    <col width="25.25" customWidth="1" style="57" min="9730" max="9730"/>
    <col width="36" customWidth="1" style="57" min="9731" max="9731"/>
    <col width="11.375" customWidth="1" style="57" min="9732" max="9732"/>
    <col width="32.375" customWidth="1" style="57" min="9733" max="9733"/>
    <col width="8.25" customWidth="1" style="57" min="9734" max="9984"/>
    <col width="5" customWidth="1" style="57" min="9985" max="9985"/>
    <col width="25.25" customWidth="1" style="57" min="9986" max="9986"/>
    <col width="36" customWidth="1" style="57" min="9987" max="9987"/>
    <col width="11.375" customWidth="1" style="57" min="9988" max="9988"/>
    <col width="32.375" customWidth="1" style="57" min="9989" max="9989"/>
    <col width="8.25" customWidth="1" style="57" min="9990" max="10240"/>
    <col width="5" customWidth="1" style="57" min="10241" max="10241"/>
    <col width="25.25" customWidth="1" style="57" min="10242" max="10242"/>
    <col width="36" customWidth="1" style="57" min="10243" max="10243"/>
    <col width="11.375" customWidth="1" style="57" min="10244" max="10244"/>
    <col width="32.375" customWidth="1" style="57" min="10245" max="10245"/>
    <col width="8.25" customWidth="1" style="57" min="10246" max="10496"/>
    <col width="5" customWidth="1" style="57" min="10497" max="10497"/>
    <col width="25.25" customWidth="1" style="57" min="10498" max="10498"/>
    <col width="36" customWidth="1" style="57" min="10499" max="10499"/>
    <col width="11.375" customWidth="1" style="57" min="10500" max="10500"/>
    <col width="32.375" customWidth="1" style="57" min="10501" max="10501"/>
    <col width="8.25" customWidth="1" style="57" min="10502" max="10752"/>
    <col width="5" customWidth="1" style="57" min="10753" max="10753"/>
    <col width="25.25" customWidth="1" style="57" min="10754" max="10754"/>
    <col width="36" customWidth="1" style="57" min="10755" max="10755"/>
    <col width="11.375" customWidth="1" style="57" min="10756" max="10756"/>
    <col width="32.375" customWidth="1" style="57" min="10757" max="10757"/>
    <col width="8.25" customWidth="1" style="57" min="10758" max="11008"/>
    <col width="5" customWidth="1" style="57" min="11009" max="11009"/>
    <col width="25.25" customWidth="1" style="57" min="11010" max="11010"/>
    <col width="36" customWidth="1" style="57" min="11011" max="11011"/>
    <col width="11.375" customWidth="1" style="57" min="11012" max="11012"/>
    <col width="32.375" customWidth="1" style="57" min="11013" max="11013"/>
    <col width="8.25" customWidth="1" style="57" min="11014" max="11264"/>
    <col width="5" customWidth="1" style="57" min="11265" max="11265"/>
    <col width="25.25" customWidth="1" style="57" min="11266" max="11266"/>
    <col width="36" customWidth="1" style="57" min="11267" max="11267"/>
    <col width="11.375" customWidth="1" style="57" min="11268" max="11268"/>
    <col width="32.375" customWidth="1" style="57" min="11269" max="11269"/>
    <col width="8.25" customWidth="1" style="57" min="11270" max="11520"/>
    <col width="5" customWidth="1" style="57" min="11521" max="11521"/>
    <col width="25.25" customWidth="1" style="57" min="11522" max="11522"/>
    <col width="36" customWidth="1" style="57" min="11523" max="11523"/>
    <col width="11.375" customWidth="1" style="57" min="11524" max="11524"/>
    <col width="32.375" customWidth="1" style="57" min="11525" max="11525"/>
    <col width="8.25" customWidth="1" style="57" min="11526" max="11776"/>
    <col width="5" customWidth="1" style="57" min="11777" max="11777"/>
    <col width="25.25" customWidth="1" style="57" min="11778" max="11778"/>
    <col width="36" customWidth="1" style="57" min="11779" max="11779"/>
    <col width="11.375" customWidth="1" style="57" min="11780" max="11780"/>
    <col width="32.375" customWidth="1" style="57" min="11781" max="11781"/>
    <col width="8.25" customWidth="1" style="57" min="11782" max="12032"/>
    <col width="5" customWidth="1" style="57" min="12033" max="12033"/>
    <col width="25.25" customWidth="1" style="57" min="12034" max="12034"/>
    <col width="36" customWidth="1" style="57" min="12035" max="12035"/>
    <col width="11.375" customWidth="1" style="57" min="12036" max="12036"/>
    <col width="32.375" customWidth="1" style="57" min="12037" max="12037"/>
    <col width="8.25" customWidth="1" style="57" min="12038" max="12288"/>
    <col width="5" customWidth="1" style="57" min="12289" max="12289"/>
    <col width="25.25" customWidth="1" style="57" min="12290" max="12290"/>
    <col width="36" customWidth="1" style="57" min="12291" max="12291"/>
    <col width="11.375" customWidth="1" style="57" min="12292" max="12292"/>
    <col width="32.375" customWidth="1" style="57" min="12293" max="12293"/>
    <col width="8.25" customWidth="1" style="57" min="12294" max="12544"/>
    <col width="5" customWidth="1" style="57" min="12545" max="12545"/>
    <col width="25.25" customWidth="1" style="57" min="12546" max="12546"/>
    <col width="36" customWidth="1" style="57" min="12547" max="12547"/>
    <col width="11.375" customWidth="1" style="57" min="12548" max="12548"/>
    <col width="32.375" customWidth="1" style="57" min="12549" max="12549"/>
    <col width="8.25" customWidth="1" style="57" min="12550" max="12800"/>
    <col width="5" customWidth="1" style="57" min="12801" max="12801"/>
    <col width="25.25" customWidth="1" style="57" min="12802" max="12802"/>
    <col width="36" customWidth="1" style="57" min="12803" max="12803"/>
    <col width="11.375" customWidth="1" style="57" min="12804" max="12804"/>
    <col width="32.375" customWidth="1" style="57" min="12805" max="12805"/>
    <col width="8.25" customWidth="1" style="57" min="12806" max="13056"/>
    <col width="5" customWidth="1" style="57" min="13057" max="13057"/>
    <col width="25.25" customWidth="1" style="57" min="13058" max="13058"/>
    <col width="36" customWidth="1" style="57" min="13059" max="13059"/>
    <col width="11.375" customWidth="1" style="57" min="13060" max="13060"/>
    <col width="32.375" customWidth="1" style="57" min="13061" max="13061"/>
    <col width="8.25" customWidth="1" style="57" min="13062" max="13312"/>
    <col width="5" customWidth="1" style="57" min="13313" max="13313"/>
    <col width="25.25" customWidth="1" style="57" min="13314" max="13314"/>
    <col width="36" customWidth="1" style="57" min="13315" max="13315"/>
    <col width="11.375" customWidth="1" style="57" min="13316" max="13316"/>
    <col width="32.375" customWidth="1" style="57" min="13317" max="13317"/>
    <col width="8.25" customWidth="1" style="57" min="13318" max="13568"/>
    <col width="5" customWidth="1" style="57" min="13569" max="13569"/>
    <col width="25.25" customWidth="1" style="57" min="13570" max="13570"/>
    <col width="36" customWidth="1" style="57" min="13571" max="13571"/>
    <col width="11.375" customWidth="1" style="57" min="13572" max="13572"/>
    <col width="32.375" customWidth="1" style="57" min="13573" max="13573"/>
    <col width="8.25" customWidth="1" style="57" min="13574" max="13824"/>
    <col width="5" customWidth="1" style="57" min="13825" max="13825"/>
    <col width="25.25" customWidth="1" style="57" min="13826" max="13826"/>
    <col width="36" customWidth="1" style="57" min="13827" max="13827"/>
    <col width="11.375" customWidth="1" style="57" min="13828" max="13828"/>
    <col width="32.375" customWidth="1" style="57" min="13829" max="13829"/>
    <col width="8.25" customWidth="1" style="57" min="13830" max="14080"/>
    <col width="5" customWidth="1" style="57" min="14081" max="14081"/>
    <col width="25.25" customWidth="1" style="57" min="14082" max="14082"/>
    <col width="36" customWidth="1" style="57" min="14083" max="14083"/>
    <col width="11.375" customWidth="1" style="57" min="14084" max="14084"/>
    <col width="32.375" customWidth="1" style="57" min="14085" max="14085"/>
    <col width="8.25" customWidth="1" style="57" min="14086" max="14336"/>
    <col width="5" customWidth="1" style="57" min="14337" max="14337"/>
    <col width="25.25" customWidth="1" style="57" min="14338" max="14338"/>
    <col width="36" customWidth="1" style="57" min="14339" max="14339"/>
    <col width="11.375" customWidth="1" style="57" min="14340" max="14340"/>
    <col width="32.375" customWidth="1" style="57" min="14341" max="14341"/>
    <col width="8.25" customWidth="1" style="57" min="14342" max="14592"/>
    <col width="5" customWidth="1" style="57" min="14593" max="14593"/>
    <col width="25.25" customWidth="1" style="57" min="14594" max="14594"/>
    <col width="36" customWidth="1" style="57" min="14595" max="14595"/>
    <col width="11.375" customWidth="1" style="57" min="14596" max="14596"/>
    <col width="32.375" customWidth="1" style="57" min="14597" max="14597"/>
    <col width="8.25" customWidth="1" style="57" min="14598" max="14848"/>
    <col width="5" customWidth="1" style="57" min="14849" max="14849"/>
    <col width="25.25" customWidth="1" style="57" min="14850" max="14850"/>
    <col width="36" customWidth="1" style="57" min="14851" max="14851"/>
    <col width="11.375" customWidth="1" style="57" min="14852" max="14852"/>
    <col width="32.375" customWidth="1" style="57" min="14853" max="14853"/>
    <col width="8.25" customWidth="1" style="57" min="14854" max="15104"/>
    <col width="5" customWidth="1" style="57" min="15105" max="15105"/>
    <col width="25.25" customWidth="1" style="57" min="15106" max="15106"/>
    <col width="36" customWidth="1" style="57" min="15107" max="15107"/>
    <col width="11.375" customWidth="1" style="57" min="15108" max="15108"/>
    <col width="32.375" customWidth="1" style="57" min="15109" max="15109"/>
    <col width="8.25" customWidth="1" style="57" min="15110" max="15360"/>
    <col width="5" customWidth="1" style="57" min="15361" max="15361"/>
    <col width="25.25" customWidth="1" style="57" min="15362" max="15362"/>
    <col width="36" customWidth="1" style="57" min="15363" max="15363"/>
    <col width="11.375" customWidth="1" style="57" min="15364" max="15364"/>
    <col width="32.375" customWidth="1" style="57" min="15365" max="15365"/>
    <col width="8.25" customWidth="1" style="57" min="15366" max="15616"/>
    <col width="5" customWidth="1" style="57" min="15617" max="15617"/>
    <col width="25.25" customWidth="1" style="57" min="15618" max="15618"/>
    <col width="36" customWidth="1" style="57" min="15619" max="15619"/>
    <col width="11.375" customWidth="1" style="57" min="15620" max="15620"/>
    <col width="32.375" customWidth="1" style="57" min="15621" max="15621"/>
    <col width="8.25" customWidth="1" style="57" min="15622" max="15872"/>
    <col width="5" customWidth="1" style="57" min="15873" max="15873"/>
    <col width="25.25" customWidth="1" style="57" min="15874" max="15874"/>
    <col width="36" customWidth="1" style="57" min="15875" max="15875"/>
    <col width="11.375" customWidth="1" style="57" min="15876" max="15876"/>
    <col width="32.375" customWidth="1" style="57" min="15877" max="15877"/>
    <col width="8.25" customWidth="1" style="57" min="15878" max="16128"/>
    <col width="5" customWidth="1" style="57" min="16129" max="16129"/>
    <col width="25.25" customWidth="1" style="57" min="16130" max="16130"/>
    <col width="36" customWidth="1" style="57" min="16131" max="16131"/>
    <col width="11.375" customWidth="1" style="57" min="16132" max="16132"/>
    <col width="32.375" customWidth="1" style="57" min="16133" max="16133"/>
    <col width="8.25" customWidth="1" style="57" min="16134" max="16384"/>
  </cols>
  <sheetData>
    <row r="1" ht="26.25" customHeight="1">
      <c r="A1" s="168" t="inlineStr">
        <is>
          <t>GIỚI THIỆU</t>
        </is>
      </c>
    </row>
    <row r="2">
      <c r="A2" s="58" t="n"/>
      <c r="B2" s="58" t="n"/>
      <c r="C2" s="58" t="n"/>
      <c r="D2" s="58" t="n"/>
      <c r="E2" s="58" t="n"/>
    </row>
    <row r="3">
      <c r="A3" s="163" t="inlineStr">
        <is>
          <t>1 - Giới thiệu</t>
        </is>
      </c>
      <c r="B3" s="205" t="n"/>
      <c r="C3" s="205" t="n"/>
      <c r="D3" s="205" t="n"/>
      <c r="E3" s="206" t="n"/>
    </row>
    <row r="4">
      <c r="A4" s="169" t="n"/>
      <c r="B4" s="205" t="n"/>
      <c r="C4" s="205" t="n"/>
      <c r="D4" s="205" t="n"/>
      <c r="E4" s="206" t="n"/>
    </row>
    <row r="5">
      <c r="A5" s="167" t="n"/>
      <c r="B5" s="205" t="n"/>
      <c r="C5" s="205" t="n"/>
      <c r="D5" s="205" t="n"/>
      <c r="E5" s="206" t="n"/>
    </row>
    <row r="6">
      <c r="A6" s="167" t="n"/>
      <c r="B6" s="205" t="n"/>
      <c r="C6" s="205" t="n"/>
      <c r="D6" s="205" t="n"/>
      <c r="E6" s="206" t="n"/>
    </row>
    <row r="7">
      <c r="A7" s="167" t="n"/>
      <c r="B7" s="205" t="n"/>
      <c r="C7" s="205" t="n"/>
      <c r="D7" s="205" t="n"/>
      <c r="E7" s="206" t="n"/>
    </row>
    <row r="8">
      <c r="A8" s="163" t="inlineStr">
        <is>
          <t>2 - Tài liệu tham khảo</t>
        </is>
      </c>
      <c r="B8" s="205" t="n"/>
      <c r="C8" s="205" t="n"/>
      <c r="D8" s="205" t="n"/>
      <c r="E8" s="206" t="n"/>
    </row>
    <row r="9">
      <c r="A9" s="60" t="inlineStr">
        <is>
          <t>STT</t>
        </is>
      </c>
      <c r="B9" s="60" t="inlineStr">
        <is>
          <t>Tên tài liệu</t>
        </is>
      </c>
      <c r="C9" s="60" t="inlineStr">
        <is>
          <t>Tên file</t>
        </is>
      </c>
      <c r="D9" s="60" t="inlineStr">
        <is>
          <t>Phiên bản</t>
        </is>
      </c>
      <c r="E9" s="60" t="inlineStr">
        <is>
          <t>Đường dẫn</t>
        </is>
      </c>
    </row>
    <row r="10" ht="14.25" customFormat="1" customHeight="1" s="65">
      <c r="A10" s="61" t="n">
        <v>1</v>
      </c>
      <c r="B10" s="167" t="n"/>
      <c r="C10" s="62" t="n"/>
      <c r="D10" s="63" t="n"/>
      <c r="E10" s="64" t="n"/>
    </row>
    <row r="11" customFormat="1" s="65">
      <c r="A11" s="61" t="n"/>
      <c r="B11" s="66" t="n"/>
      <c r="C11" s="67" t="n"/>
      <c r="D11" s="68" t="n"/>
      <c r="E11" s="167" t="n"/>
    </row>
    <row r="12" customFormat="1" s="65">
      <c r="A12" s="69" t="n"/>
      <c r="B12" s="66" t="n"/>
      <c r="C12" s="67" t="n"/>
      <c r="D12" s="68" t="n"/>
      <c r="E12" s="167" t="n"/>
    </row>
    <row r="13" customFormat="1" s="65">
      <c r="A13" s="61" t="n"/>
      <c r="B13" s="66" t="n"/>
      <c r="C13" s="67" t="n"/>
      <c r="D13" s="68" t="n"/>
      <c r="E13" s="167" t="n"/>
    </row>
    <row r="14" customFormat="1" s="65">
      <c r="A14" s="61" t="n"/>
      <c r="B14" s="66" t="n"/>
      <c r="C14" s="67" t="n"/>
      <c r="D14" s="68" t="n"/>
      <c r="E14" s="167" t="n"/>
    </row>
    <row r="15">
      <c r="A15" s="163" t="inlineStr">
        <is>
          <t>3 - Môi trường kiểm thử</t>
        </is>
      </c>
      <c r="B15" s="205" t="n"/>
      <c r="C15" s="205" t="n"/>
      <c r="D15" s="205" t="n"/>
      <c r="E15" s="206" t="n"/>
    </row>
    <row r="16">
      <c r="A16" s="70" t="inlineStr">
        <is>
          <t>STT</t>
        </is>
      </c>
      <c r="B16" s="71" t="inlineStr">
        <is>
          <t>Trình duyệt</t>
        </is>
      </c>
      <c r="C16" s="60" t="inlineStr">
        <is>
          <t>Phiên bản</t>
        </is>
      </c>
      <c r="D16" s="206" t="n"/>
      <c r="E16" s="60" t="inlineStr">
        <is>
          <t>Viết tắt</t>
        </is>
      </c>
    </row>
    <row r="17" customFormat="1" s="65">
      <c r="A17" s="61" t="n"/>
      <c r="B17" s="72" t="inlineStr">
        <is>
          <t>Chrome</t>
        </is>
      </c>
      <c r="C17" s="162" t="n">
        <v>131</v>
      </c>
      <c r="D17" s="206" t="n"/>
      <c r="E17" s="61" t="inlineStr">
        <is>
          <t>C</t>
        </is>
      </c>
    </row>
    <row r="18" customFormat="1" s="65">
      <c r="A18" s="61" t="n"/>
      <c r="B18" s="72" t="inlineStr">
        <is>
          <t>Microsoft Edge</t>
        </is>
      </c>
      <c r="C18" s="162" t="n">
        <v>131</v>
      </c>
      <c r="D18" s="206" t="n"/>
      <c r="E18" s="61" t="inlineStr">
        <is>
          <t>ME</t>
        </is>
      </c>
    </row>
    <row r="19">
      <c r="A19" s="68" t="n"/>
      <c r="B19" s="71" t="inlineStr">
        <is>
          <t>Cấu hình server test</t>
        </is>
      </c>
      <c r="C19" s="205" t="n"/>
      <c r="D19" s="205" t="n"/>
      <c r="E19" s="206" t="n"/>
    </row>
    <row r="20">
      <c r="A20" s="68" t="n"/>
      <c r="B20" s="207" t="inlineStr">
        <is>
          <t>CPU: 4G, Duecore, Ram 8G, HDD: 320G</t>
        </is>
      </c>
      <c r="C20" s="205" t="n"/>
      <c r="D20" s="205" t="n"/>
      <c r="E20" s="206" t="n"/>
    </row>
    <row r="21">
      <c r="A21" s="68" t="n"/>
      <c r="B21" s="71" t="inlineStr">
        <is>
          <t>Tool test</t>
        </is>
      </c>
      <c r="C21" s="60" t="inlineStr">
        <is>
          <t>Phiên bản</t>
        </is>
      </c>
      <c r="D21" s="206" t="n"/>
      <c r="E21" s="60" t="inlineStr">
        <is>
          <t>Mục đích</t>
        </is>
      </c>
    </row>
    <row r="22">
      <c r="A22" s="68" t="n"/>
      <c r="B22" s="66" t="n"/>
      <c r="C22" s="162" t="n"/>
      <c r="D22" s="206" t="n"/>
      <c r="E22" s="67" t="n"/>
    </row>
    <row r="23">
      <c r="A23" s="68" t="n"/>
      <c r="B23" s="66" t="n"/>
      <c r="C23" s="162" t="n"/>
      <c r="D23" s="206" t="n"/>
      <c r="E23" s="67" t="n"/>
    </row>
  </sheetData>
  <mergeCells count="16">
    <mergeCell ref="B20:E20"/>
    <mergeCell ref="A4:E4"/>
    <mergeCell ref="C21:D21"/>
    <mergeCell ref="C16:D16"/>
    <mergeCell ref="A15:E15"/>
    <mergeCell ref="A7:E7"/>
    <mergeCell ref="A1:E1"/>
    <mergeCell ref="A5:E5"/>
    <mergeCell ref="C22:D22"/>
    <mergeCell ref="B19:E19"/>
    <mergeCell ref="A8:E8"/>
    <mergeCell ref="A6:E6"/>
    <mergeCell ref="C17:D17"/>
    <mergeCell ref="C18:D18"/>
    <mergeCell ref="C23:D23"/>
    <mergeCell ref="A3:E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2"/>
  <sheetViews>
    <sheetView workbookViewId="0">
      <selection activeCell="M4" sqref="M4"/>
    </sheetView>
  </sheetViews>
  <sheetFormatPr baseColWidth="8" defaultColWidth="8.25" defaultRowHeight="12.75"/>
  <cols>
    <col width="8.25" customWidth="1" style="73" min="1" max="1"/>
    <col width="42.75" customWidth="1" style="73" min="2" max="2"/>
    <col width="13.375" customWidth="1" style="81" min="3" max="10"/>
    <col width="8.25" customWidth="1" style="73" min="11" max="257"/>
    <col width="42.75" customWidth="1" style="73" min="258" max="258"/>
    <col width="13.375" customWidth="1" style="73" min="259" max="266"/>
    <col width="8.25" customWidth="1" style="73" min="267" max="513"/>
    <col width="42.75" customWidth="1" style="73" min="514" max="514"/>
    <col width="13.375" customWidth="1" style="73" min="515" max="522"/>
    <col width="8.25" customWidth="1" style="73" min="523" max="769"/>
    <col width="42.75" customWidth="1" style="73" min="770" max="770"/>
    <col width="13.375" customWidth="1" style="73" min="771" max="778"/>
    <col width="8.25" customWidth="1" style="73" min="779" max="1025"/>
    <col width="42.75" customWidth="1" style="73" min="1026" max="1026"/>
    <col width="13.375" customWidth="1" style="73" min="1027" max="1034"/>
    <col width="8.25" customWidth="1" style="73" min="1035" max="1281"/>
    <col width="42.75" customWidth="1" style="73" min="1282" max="1282"/>
    <col width="13.375" customWidth="1" style="73" min="1283" max="1290"/>
    <col width="8.25" customWidth="1" style="73" min="1291" max="1537"/>
    <col width="42.75" customWidth="1" style="73" min="1538" max="1538"/>
    <col width="13.375" customWidth="1" style="73" min="1539" max="1546"/>
    <col width="8.25" customWidth="1" style="73" min="1547" max="1793"/>
    <col width="42.75" customWidth="1" style="73" min="1794" max="1794"/>
    <col width="13.375" customWidth="1" style="73" min="1795" max="1802"/>
    <col width="8.25" customWidth="1" style="73" min="1803" max="2049"/>
    <col width="42.75" customWidth="1" style="73" min="2050" max="2050"/>
    <col width="13.375" customWidth="1" style="73" min="2051" max="2058"/>
    <col width="8.25" customWidth="1" style="73" min="2059" max="2305"/>
    <col width="42.75" customWidth="1" style="73" min="2306" max="2306"/>
    <col width="13.375" customWidth="1" style="73" min="2307" max="2314"/>
    <col width="8.25" customWidth="1" style="73" min="2315" max="2561"/>
    <col width="42.75" customWidth="1" style="73" min="2562" max="2562"/>
    <col width="13.375" customWidth="1" style="73" min="2563" max="2570"/>
    <col width="8.25" customWidth="1" style="73" min="2571" max="2817"/>
    <col width="42.75" customWidth="1" style="73" min="2818" max="2818"/>
    <col width="13.375" customWidth="1" style="73" min="2819" max="2826"/>
    <col width="8.25" customWidth="1" style="73" min="2827" max="3073"/>
    <col width="42.75" customWidth="1" style="73" min="3074" max="3074"/>
    <col width="13.375" customWidth="1" style="73" min="3075" max="3082"/>
    <col width="8.25" customWidth="1" style="73" min="3083" max="3329"/>
    <col width="42.75" customWidth="1" style="73" min="3330" max="3330"/>
    <col width="13.375" customWidth="1" style="73" min="3331" max="3338"/>
    <col width="8.25" customWidth="1" style="73" min="3339" max="3585"/>
    <col width="42.75" customWidth="1" style="73" min="3586" max="3586"/>
    <col width="13.375" customWidth="1" style="73" min="3587" max="3594"/>
    <col width="8.25" customWidth="1" style="73" min="3595" max="3841"/>
    <col width="42.75" customWidth="1" style="73" min="3842" max="3842"/>
    <col width="13.375" customWidth="1" style="73" min="3843" max="3850"/>
    <col width="8.25" customWidth="1" style="73" min="3851" max="4097"/>
    <col width="42.75" customWidth="1" style="73" min="4098" max="4098"/>
    <col width="13.375" customWidth="1" style="73" min="4099" max="4106"/>
    <col width="8.25" customWidth="1" style="73" min="4107" max="4353"/>
    <col width="42.75" customWidth="1" style="73" min="4354" max="4354"/>
    <col width="13.375" customWidth="1" style="73" min="4355" max="4362"/>
    <col width="8.25" customWidth="1" style="73" min="4363" max="4609"/>
    <col width="42.75" customWidth="1" style="73" min="4610" max="4610"/>
    <col width="13.375" customWidth="1" style="73" min="4611" max="4618"/>
    <col width="8.25" customWidth="1" style="73" min="4619" max="4865"/>
    <col width="42.75" customWidth="1" style="73" min="4866" max="4866"/>
    <col width="13.375" customWidth="1" style="73" min="4867" max="4874"/>
    <col width="8.25" customWidth="1" style="73" min="4875" max="5121"/>
    <col width="42.75" customWidth="1" style="73" min="5122" max="5122"/>
    <col width="13.375" customWidth="1" style="73" min="5123" max="5130"/>
    <col width="8.25" customWidth="1" style="73" min="5131" max="5377"/>
    <col width="42.75" customWidth="1" style="73" min="5378" max="5378"/>
    <col width="13.375" customWidth="1" style="73" min="5379" max="5386"/>
    <col width="8.25" customWidth="1" style="73" min="5387" max="5633"/>
    <col width="42.75" customWidth="1" style="73" min="5634" max="5634"/>
    <col width="13.375" customWidth="1" style="73" min="5635" max="5642"/>
    <col width="8.25" customWidth="1" style="73" min="5643" max="5889"/>
    <col width="42.75" customWidth="1" style="73" min="5890" max="5890"/>
    <col width="13.375" customWidth="1" style="73" min="5891" max="5898"/>
    <col width="8.25" customWidth="1" style="73" min="5899" max="6145"/>
    <col width="42.75" customWidth="1" style="73" min="6146" max="6146"/>
    <col width="13.375" customWidth="1" style="73" min="6147" max="6154"/>
    <col width="8.25" customWidth="1" style="73" min="6155" max="6401"/>
    <col width="42.75" customWidth="1" style="73" min="6402" max="6402"/>
    <col width="13.375" customWidth="1" style="73" min="6403" max="6410"/>
    <col width="8.25" customWidth="1" style="73" min="6411" max="6657"/>
    <col width="42.75" customWidth="1" style="73" min="6658" max="6658"/>
    <col width="13.375" customWidth="1" style="73" min="6659" max="6666"/>
    <col width="8.25" customWidth="1" style="73" min="6667" max="6913"/>
    <col width="42.75" customWidth="1" style="73" min="6914" max="6914"/>
    <col width="13.375" customWidth="1" style="73" min="6915" max="6922"/>
    <col width="8.25" customWidth="1" style="73" min="6923" max="7169"/>
    <col width="42.75" customWidth="1" style="73" min="7170" max="7170"/>
    <col width="13.375" customWidth="1" style="73" min="7171" max="7178"/>
    <col width="8.25" customWidth="1" style="73" min="7179" max="7425"/>
    <col width="42.75" customWidth="1" style="73" min="7426" max="7426"/>
    <col width="13.375" customWidth="1" style="73" min="7427" max="7434"/>
    <col width="8.25" customWidth="1" style="73" min="7435" max="7681"/>
    <col width="42.75" customWidth="1" style="73" min="7682" max="7682"/>
    <col width="13.375" customWidth="1" style="73" min="7683" max="7690"/>
    <col width="8.25" customWidth="1" style="73" min="7691" max="7937"/>
    <col width="42.75" customWidth="1" style="73" min="7938" max="7938"/>
    <col width="13.375" customWidth="1" style="73" min="7939" max="7946"/>
    <col width="8.25" customWidth="1" style="73" min="7947" max="8193"/>
    <col width="42.75" customWidth="1" style="73" min="8194" max="8194"/>
    <col width="13.375" customWidth="1" style="73" min="8195" max="8202"/>
    <col width="8.25" customWidth="1" style="73" min="8203" max="8449"/>
    <col width="42.75" customWidth="1" style="73" min="8450" max="8450"/>
    <col width="13.375" customWidth="1" style="73" min="8451" max="8458"/>
    <col width="8.25" customWidth="1" style="73" min="8459" max="8705"/>
    <col width="42.75" customWidth="1" style="73" min="8706" max="8706"/>
    <col width="13.375" customWidth="1" style="73" min="8707" max="8714"/>
    <col width="8.25" customWidth="1" style="73" min="8715" max="8961"/>
    <col width="42.75" customWidth="1" style="73" min="8962" max="8962"/>
    <col width="13.375" customWidth="1" style="73" min="8963" max="8970"/>
    <col width="8.25" customWidth="1" style="73" min="8971" max="9217"/>
    <col width="42.75" customWidth="1" style="73" min="9218" max="9218"/>
    <col width="13.375" customWidth="1" style="73" min="9219" max="9226"/>
    <col width="8.25" customWidth="1" style="73" min="9227" max="9473"/>
    <col width="42.75" customWidth="1" style="73" min="9474" max="9474"/>
    <col width="13.375" customWidth="1" style="73" min="9475" max="9482"/>
    <col width="8.25" customWidth="1" style="73" min="9483" max="9729"/>
    <col width="42.75" customWidth="1" style="73" min="9730" max="9730"/>
    <col width="13.375" customWidth="1" style="73" min="9731" max="9738"/>
    <col width="8.25" customWidth="1" style="73" min="9739" max="9985"/>
    <col width="42.75" customWidth="1" style="73" min="9986" max="9986"/>
    <col width="13.375" customWidth="1" style="73" min="9987" max="9994"/>
    <col width="8.25" customWidth="1" style="73" min="9995" max="10241"/>
    <col width="42.75" customWidth="1" style="73" min="10242" max="10242"/>
    <col width="13.375" customWidth="1" style="73" min="10243" max="10250"/>
    <col width="8.25" customWidth="1" style="73" min="10251" max="10497"/>
    <col width="42.75" customWidth="1" style="73" min="10498" max="10498"/>
    <col width="13.375" customWidth="1" style="73" min="10499" max="10506"/>
    <col width="8.25" customWidth="1" style="73" min="10507" max="10753"/>
    <col width="42.75" customWidth="1" style="73" min="10754" max="10754"/>
    <col width="13.375" customWidth="1" style="73" min="10755" max="10762"/>
    <col width="8.25" customWidth="1" style="73" min="10763" max="11009"/>
    <col width="42.75" customWidth="1" style="73" min="11010" max="11010"/>
    <col width="13.375" customWidth="1" style="73" min="11011" max="11018"/>
    <col width="8.25" customWidth="1" style="73" min="11019" max="11265"/>
    <col width="42.75" customWidth="1" style="73" min="11266" max="11266"/>
    <col width="13.375" customWidth="1" style="73" min="11267" max="11274"/>
    <col width="8.25" customWidth="1" style="73" min="11275" max="11521"/>
    <col width="42.75" customWidth="1" style="73" min="11522" max="11522"/>
    <col width="13.375" customWidth="1" style="73" min="11523" max="11530"/>
    <col width="8.25" customWidth="1" style="73" min="11531" max="11777"/>
    <col width="42.75" customWidth="1" style="73" min="11778" max="11778"/>
    <col width="13.375" customWidth="1" style="73" min="11779" max="11786"/>
    <col width="8.25" customWidth="1" style="73" min="11787" max="12033"/>
    <col width="42.75" customWidth="1" style="73" min="12034" max="12034"/>
    <col width="13.375" customWidth="1" style="73" min="12035" max="12042"/>
    <col width="8.25" customWidth="1" style="73" min="12043" max="12289"/>
    <col width="42.75" customWidth="1" style="73" min="12290" max="12290"/>
    <col width="13.375" customWidth="1" style="73" min="12291" max="12298"/>
    <col width="8.25" customWidth="1" style="73" min="12299" max="12545"/>
    <col width="42.75" customWidth="1" style="73" min="12546" max="12546"/>
    <col width="13.375" customWidth="1" style="73" min="12547" max="12554"/>
    <col width="8.25" customWidth="1" style="73" min="12555" max="12801"/>
    <col width="42.75" customWidth="1" style="73" min="12802" max="12802"/>
    <col width="13.375" customWidth="1" style="73" min="12803" max="12810"/>
    <col width="8.25" customWidth="1" style="73" min="12811" max="13057"/>
    <col width="42.75" customWidth="1" style="73" min="13058" max="13058"/>
    <col width="13.375" customWidth="1" style="73" min="13059" max="13066"/>
    <col width="8.25" customWidth="1" style="73" min="13067" max="13313"/>
    <col width="42.75" customWidth="1" style="73" min="13314" max="13314"/>
    <col width="13.375" customWidth="1" style="73" min="13315" max="13322"/>
    <col width="8.25" customWidth="1" style="73" min="13323" max="13569"/>
    <col width="42.75" customWidth="1" style="73" min="13570" max="13570"/>
    <col width="13.375" customWidth="1" style="73" min="13571" max="13578"/>
    <col width="8.25" customWidth="1" style="73" min="13579" max="13825"/>
    <col width="42.75" customWidth="1" style="73" min="13826" max="13826"/>
    <col width="13.375" customWidth="1" style="73" min="13827" max="13834"/>
    <col width="8.25" customWidth="1" style="73" min="13835" max="14081"/>
    <col width="42.75" customWidth="1" style="73" min="14082" max="14082"/>
    <col width="13.375" customWidth="1" style="73" min="14083" max="14090"/>
    <col width="8.25" customWidth="1" style="73" min="14091" max="14337"/>
    <col width="42.75" customWidth="1" style="73" min="14338" max="14338"/>
    <col width="13.375" customWidth="1" style="73" min="14339" max="14346"/>
    <col width="8.25" customWidth="1" style="73" min="14347" max="14593"/>
    <col width="42.75" customWidth="1" style="73" min="14594" max="14594"/>
    <col width="13.375" customWidth="1" style="73" min="14595" max="14602"/>
    <col width="8.25" customWidth="1" style="73" min="14603" max="14849"/>
    <col width="42.75" customWidth="1" style="73" min="14850" max="14850"/>
    <col width="13.375" customWidth="1" style="73" min="14851" max="14858"/>
    <col width="8.25" customWidth="1" style="73" min="14859" max="15105"/>
    <col width="42.75" customWidth="1" style="73" min="15106" max="15106"/>
    <col width="13.375" customWidth="1" style="73" min="15107" max="15114"/>
    <col width="8.25" customWidth="1" style="73" min="15115" max="15361"/>
    <col width="42.75" customWidth="1" style="73" min="15362" max="15362"/>
    <col width="13.375" customWidth="1" style="73" min="15363" max="15370"/>
    <col width="8.25" customWidth="1" style="73" min="15371" max="15617"/>
    <col width="42.75" customWidth="1" style="73" min="15618" max="15618"/>
    <col width="13.375" customWidth="1" style="73" min="15619" max="15626"/>
    <col width="8.25" customWidth="1" style="73" min="15627" max="15873"/>
    <col width="42.75" customWidth="1" style="73" min="15874" max="15874"/>
    <col width="13.375" customWidth="1" style="73" min="15875" max="15882"/>
    <col width="8.25" customWidth="1" style="73" min="15883" max="16129"/>
    <col width="42.75" customWidth="1" style="73" min="16130" max="16130"/>
    <col width="13.375" customWidth="1" style="73" min="16131" max="16138"/>
    <col width="8.25" customWidth="1" style="73" min="16139" max="16384"/>
  </cols>
  <sheetData>
    <row r="1" ht="25.5" customHeight="1">
      <c r="A1" s="170" t="inlineStr">
        <is>
          <t>TỔNG HỢP KẾT QUẢ</t>
        </is>
      </c>
    </row>
    <row r="3" ht="38.25" customHeight="1">
      <c r="A3" s="74" t="inlineStr">
        <is>
          <t>STT</t>
        </is>
      </c>
      <c r="B3" s="74" t="inlineStr">
        <is>
          <t>Tên màn hình/chức năng</t>
        </is>
      </c>
      <c r="C3" s="74" t="inlineStr">
        <is>
          <t>Số trường hợp kiểm thử đạt (P)</t>
        </is>
      </c>
      <c r="D3" s="74" t="inlineStr">
        <is>
          <t>Số trường hợp kiểm thử không đạt (F)</t>
        </is>
      </c>
      <c r="E3" s="74" t="inlineStr">
        <is>
          <t>Số trường hợp kiểm thử đang xem xét (PE)</t>
        </is>
      </c>
      <c r="F3" s="74" t="inlineStr">
        <is>
          <t>Số trường hợp kiểm thử chưa thực hiện</t>
        </is>
      </c>
      <c r="G3" s="74" t="inlineStr">
        <is>
          <t>Tổng số trường hợp kiểm thử</t>
        </is>
      </c>
      <c r="H3" s="74" t="inlineStr">
        <is>
          <t>Tỉ lệ trường hợp kiểm thử đạt (%P)</t>
        </is>
      </c>
      <c r="I3" s="74" t="inlineStr">
        <is>
          <t>Tỉ lệ trường hợp kiểm thử không đạt (%F)</t>
        </is>
      </c>
      <c r="J3" s="74" t="inlineStr">
        <is>
          <t>Tỉ lệ trường hợp kiểm thử đã thực hiện (%Cover)</t>
        </is>
      </c>
    </row>
    <row r="4">
      <c r="A4" s="75" t="n">
        <v>1</v>
      </c>
      <c r="B4" s="76">
        <f>'NV_08_Web'!D2&amp;" - Web"</f>
        <v/>
      </c>
      <c r="C4" s="77">
        <f>'NV_08_Web'!D4</f>
        <v/>
      </c>
      <c r="D4" s="77">
        <f>'NV_08_Web'!D5</f>
        <v/>
      </c>
      <c r="E4" s="77">
        <f>'NV_08_Web'!D6</f>
        <v/>
      </c>
      <c r="F4" s="77">
        <f>'NV_08_Web'!D7</f>
        <v/>
      </c>
      <c r="G4" s="77">
        <f>'NV_08_Web'!D8</f>
        <v/>
      </c>
      <c r="H4" s="78">
        <f>IFERROR(C4/G4,0)</f>
        <v/>
      </c>
      <c r="I4" s="78">
        <f>IFERROR(D4/G4,0)</f>
        <v/>
      </c>
      <c r="J4" s="78">
        <f>IFERROR((C4+D4)/G4,0)</f>
        <v/>
      </c>
    </row>
    <row r="5">
      <c r="A5" s="75" t="n">
        <v>2</v>
      </c>
      <c r="B5" s="76">
        <f>'NV_08_App'!D2&amp;" - App"</f>
        <v/>
      </c>
      <c r="C5" s="77">
        <f>'NV_08_App'!D4</f>
        <v/>
      </c>
      <c r="D5" s="77">
        <f>'NV_08_App'!D5</f>
        <v/>
      </c>
      <c r="E5" s="77">
        <f>'NV_08_App'!D6</f>
        <v/>
      </c>
      <c r="F5" s="77">
        <f>'NV_08_App'!D7</f>
        <v/>
      </c>
      <c r="G5" s="77">
        <f>'NV_08_App'!D8</f>
        <v/>
      </c>
      <c r="H5" s="78">
        <f>IFERROR(C5/G5,0)</f>
        <v/>
      </c>
      <c r="I5" s="78">
        <f>IFERROR(D5/G5,0)</f>
        <v/>
      </c>
      <c r="J5" s="78">
        <f>IFERROR((C5+D5)/G5,0)</f>
        <v/>
      </c>
    </row>
    <row r="6">
      <c r="A6" s="75" t="n"/>
      <c r="B6" s="76" t="n"/>
      <c r="C6" s="77" t="n"/>
      <c r="D6" s="77" t="n"/>
      <c r="E6" s="77" t="n"/>
      <c r="F6" s="77" t="n"/>
      <c r="G6" s="77" t="n"/>
      <c r="H6" s="78" t="n"/>
      <c r="I6" s="78" t="n"/>
      <c r="J6" s="78" t="n"/>
    </row>
    <row r="7">
      <c r="A7" s="75" t="n"/>
      <c r="B7" s="76" t="n"/>
      <c r="C7" s="77" t="n"/>
      <c r="D7" s="77" t="n"/>
      <c r="E7" s="77" t="n"/>
      <c r="F7" s="77" t="n"/>
      <c r="G7" s="77" t="n"/>
      <c r="H7" s="78" t="n"/>
      <c r="I7" s="78" t="n"/>
      <c r="J7" s="78" t="n"/>
    </row>
    <row r="8">
      <c r="A8" s="75" t="n"/>
      <c r="B8" s="76" t="n"/>
      <c r="C8" s="77" t="n"/>
      <c r="D8" s="77" t="n"/>
      <c r="E8" s="77" t="n"/>
      <c r="F8" s="77" t="n"/>
      <c r="G8" s="77" t="n"/>
      <c r="H8" s="78" t="n"/>
      <c r="I8" s="78" t="n"/>
      <c r="J8" s="78" t="n"/>
    </row>
    <row r="9">
      <c r="A9" s="75" t="n"/>
      <c r="B9" s="76" t="n"/>
      <c r="C9" s="77" t="n"/>
      <c r="D9" s="77" t="n"/>
      <c r="E9" s="77" t="n"/>
      <c r="F9" s="77" t="n"/>
      <c r="G9" s="77" t="n"/>
      <c r="H9" s="78" t="n"/>
      <c r="I9" s="78" t="n"/>
      <c r="J9" s="78" t="n"/>
    </row>
    <row r="10">
      <c r="A10" s="75" t="n"/>
      <c r="B10" s="76" t="n"/>
      <c r="C10" s="77" t="n"/>
      <c r="D10" s="77" t="n"/>
      <c r="E10" s="77" t="n"/>
      <c r="F10" s="77" t="n"/>
      <c r="G10" s="77" t="n"/>
      <c r="H10" s="78" t="n"/>
      <c r="I10" s="78" t="n"/>
      <c r="J10" s="78" t="n"/>
    </row>
    <row r="11">
      <c r="A11" s="75" t="n"/>
      <c r="B11" s="76" t="n"/>
      <c r="C11" s="77" t="n"/>
      <c r="D11" s="77" t="n"/>
      <c r="E11" s="77" t="n"/>
      <c r="F11" s="77" t="n"/>
      <c r="G11" s="77" t="n"/>
      <c r="H11" s="78" t="n"/>
      <c r="I11" s="78" t="n"/>
      <c r="J11" s="78" t="n"/>
    </row>
    <row r="12" ht="15.75" customHeight="1">
      <c r="A12" s="208" t="inlineStr">
        <is>
          <t xml:space="preserve">Total </t>
        </is>
      </c>
      <c r="B12" s="206" t="n"/>
      <c r="C12" s="79">
        <f>SUM(C4:C11)</f>
        <v/>
      </c>
      <c r="D12" s="79">
        <f>SUM(D4:D11)</f>
        <v/>
      </c>
      <c r="E12" s="79">
        <f>SUM(E4:E11)</f>
        <v/>
      </c>
      <c r="F12" s="79">
        <f>SUM(F4:F11)</f>
        <v/>
      </c>
      <c r="G12" s="79">
        <f>SUM(G4:G11)</f>
        <v/>
      </c>
      <c r="H12" s="80">
        <f>IFERROR(C12/G12,0)</f>
        <v/>
      </c>
      <c r="I12" s="80">
        <f>IFERROR(D12/G12,0)</f>
        <v/>
      </c>
      <c r="J12" s="80">
        <f>IFERROR((C12+D12)/G12,0)</f>
        <v/>
      </c>
    </row>
  </sheetData>
  <mergeCells count="2">
    <mergeCell ref="A1:J1"/>
    <mergeCell ref="A12:B12"/>
  </mergeCells>
  <pageMargins left="0.7" right="0.7" top="0.75" bottom="0.75" header="0.3" footer="0.3"/>
</worksheet>
</file>

<file path=xl/worksheets/sheet4.xml><?xml version="1.0" encoding="utf-8"?>
<worksheet xmlns="http://schemas.openxmlformats.org/spreadsheetml/2006/main">
  <sheetPr>
    <outlinePr summaryBelow="0"/>
    <pageSetUpPr/>
  </sheetPr>
  <dimension ref="A1:AU52"/>
  <sheetViews>
    <sheetView topLeftCell="A25" zoomScaleNormal="100" workbookViewId="0">
      <selection activeCell="A15" sqref="A15:A37"/>
    </sheetView>
  </sheetViews>
  <sheetFormatPr baseColWidth="8" defaultColWidth="11.25" defaultRowHeight="15.75" outlineLevelRow="3"/>
  <cols>
    <col width="15.25" customWidth="1" style="96" min="1" max="1"/>
    <col width="28.75" customWidth="1" style="92" min="2" max="2"/>
    <col width="58.75" customWidth="1" style="92" min="3" max="3"/>
    <col width="62.125" customWidth="1" style="92" min="4" max="4"/>
    <col width="5.25" customWidth="1" style="96" min="5" max="7"/>
    <col hidden="1" width="5.25" customWidth="1" style="96" min="8" max="10"/>
    <col hidden="1" width="6" customWidth="1" style="96" min="11" max="16"/>
    <col width="8.5" customWidth="1" style="96" min="17" max="17"/>
    <col width="13.5" customWidth="1" style="92" min="18" max="18"/>
    <col width="19.75" customWidth="1" style="92" min="19" max="19"/>
    <col width="7.75" customWidth="1" style="92" min="20" max="21"/>
    <col width="11.25" customWidth="1" style="92" min="22" max="16384"/>
  </cols>
  <sheetData>
    <row r="1" ht="33" customHeight="1">
      <c r="A1" s="90" t="n"/>
      <c r="B1" s="91" t="n"/>
      <c r="C1" s="196" t="inlineStr">
        <is>
          <t>KỊCH BẢN KIỂM THỬ *</t>
        </is>
      </c>
      <c r="D1" s="209" t="n"/>
      <c r="E1" s="90" t="n"/>
      <c r="F1" s="90" t="n"/>
      <c r="G1" s="90" t="n"/>
      <c r="H1" s="90" t="n"/>
      <c r="I1" s="90" t="n"/>
      <c r="J1" s="90" t="n"/>
      <c r="K1" s="90" t="n"/>
      <c r="L1" s="90" t="n"/>
      <c r="M1" s="90" t="n"/>
      <c r="N1" s="90" t="n"/>
      <c r="O1" s="90" t="n"/>
      <c r="P1" s="90" t="n"/>
      <c r="Q1" s="90" t="n"/>
      <c r="R1" s="91" t="n"/>
      <c r="S1" s="91" t="n"/>
      <c r="T1" s="91" t="n"/>
      <c r="U1" s="91" t="n"/>
    </row>
    <row r="2">
      <c r="A2" s="90" t="n"/>
      <c r="B2" s="91" t="n"/>
      <c r="C2" s="93" t="inlineStr">
        <is>
          <t>Tên màn hình/Tên chức năng</t>
        </is>
      </c>
      <c r="D2" s="94" t="inlineStr">
        <is>
          <t>NV_08_Thêm hạn xử lý ở Danh sách người cùng nhận</t>
        </is>
      </c>
      <c r="E2" s="90" t="n"/>
      <c r="F2" s="90" t="n"/>
      <c r="G2" s="90" t="n"/>
      <c r="H2" s="90" t="n"/>
      <c r="I2" s="90" t="n"/>
      <c r="J2" s="90" t="n"/>
      <c r="K2" s="90" t="n"/>
      <c r="L2" s="90" t="n"/>
      <c r="M2" s="90" t="n"/>
      <c r="N2" s="90" t="n"/>
      <c r="O2" s="90" t="n"/>
      <c r="P2" s="90" t="n"/>
      <c r="Q2" s="90" t="n"/>
      <c r="R2" s="91" t="n"/>
      <c r="S2" s="91" t="n"/>
      <c r="T2" s="91" t="n"/>
      <c r="U2" s="91" t="n"/>
    </row>
    <row r="3">
      <c r="A3" s="90" t="n"/>
      <c r="B3" s="91" t="n"/>
      <c r="C3" s="93" t="inlineStr">
        <is>
          <t>Mã trường hợp kiểm thử</t>
        </is>
      </c>
      <c r="D3" s="94" t="inlineStr">
        <is>
          <t>NV_08</t>
        </is>
      </c>
      <c r="E3" s="90" t="n"/>
      <c r="F3" s="90" t="n"/>
      <c r="G3" s="90" t="n"/>
      <c r="H3" s="90" t="n"/>
      <c r="I3" s="90" t="n"/>
      <c r="J3" s="90" t="n"/>
      <c r="K3" s="90" t="n"/>
      <c r="L3" s="90" t="n"/>
      <c r="M3" s="90" t="n"/>
      <c r="N3" s="90" t="n"/>
      <c r="O3" s="90" t="n"/>
      <c r="P3" s="90" t="n"/>
      <c r="Q3" s="90" t="n"/>
      <c r="R3" s="91" t="n"/>
      <c r="S3" s="91" t="n"/>
      <c r="T3" s="91" t="n"/>
      <c r="U3" s="91" t="n"/>
    </row>
    <row r="4">
      <c r="A4" s="90" t="n"/>
      <c r="B4" s="91" t="n"/>
      <c r="C4" s="93" t="inlineStr">
        <is>
          <t>Số trường hợp kiểm thử đạt (P)</t>
        </is>
      </c>
      <c r="D4" s="95">
        <f>COUNTIF($E$13:$E$52,"P")</f>
        <v/>
      </c>
      <c r="E4" s="90" t="n"/>
      <c r="F4" s="90" t="n"/>
      <c r="G4" s="90" t="n"/>
      <c r="H4" s="90" t="n"/>
      <c r="I4" s="90" t="n"/>
      <c r="J4" s="90" t="n"/>
      <c r="K4" s="90" t="n"/>
      <c r="L4" s="90" t="n"/>
      <c r="M4" s="90" t="n"/>
      <c r="N4" s="90" t="n"/>
      <c r="O4" s="90" t="n"/>
      <c r="P4" s="90" t="n"/>
      <c r="Q4" s="90" t="n"/>
      <c r="R4" s="91" t="n"/>
      <c r="S4" s="91" t="n"/>
      <c r="T4" s="91" t="n"/>
      <c r="U4" s="91" t="n"/>
    </row>
    <row r="5">
      <c r="A5" s="90" t="n"/>
      <c r="B5" s="91" t="n"/>
      <c r="C5" s="93" t="inlineStr">
        <is>
          <t>Số trường hợp kiểm thử không đạt (F)</t>
        </is>
      </c>
      <c r="D5" s="95">
        <f>COUNTIF($E$13:$E$52,"F")</f>
        <v/>
      </c>
      <c r="E5" s="90" t="n"/>
      <c r="F5" s="90" t="n"/>
      <c r="G5" s="90" t="n"/>
      <c r="H5" s="90" t="n"/>
      <c r="I5" s="90" t="n"/>
      <c r="J5" s="90" t="n"/>
      <c r="K5" s="90" t="n"/>
      <c r="L5" s="90" t="n"/>
      <c r="M5" s="90" t="n"/>
      <c r="N5" s="90" t="n"/>
      <c r="O5" s="90" t="n"/>
      <c r="P5" s="90" t="n"/>
      <c r="Q5" s="90" t="n"/>
      <c r="R5" s="91" t="n"/>
      <c r="S5" s="91" t="n"/>
      <c r="T5" s="91" t="n"/>
      <c r="U5" s="91" t="n"/>
    </row>
    <row r="6">
      <c r="A6" s="90" t="n"/>
      <c r="B6" s="91" t="n"/>
      <c r="C6" s="93" t="inlineStr">
        <is>
          <t>Số trường hợp kiểm thử đang xem xét (PE)</t>
        </is>
      </c>
      <c r="D6" s="95">
        <f>COUNTIF($Q$13:$Q$52,"PE")</f>
        <v/>
      </c>
      <c r="E6" s="90" t="n"/>
      <c r="F6" s="90" t="n"/>
      <c r="G6" s="90" t="n"/>
      <c r="H6" s="90" t="n"/>
      <c r="I6" s="90" t="n"/>
      <c r="J6" s="90" t="n"/>
      <c r="K6" s="90" t="n"/>
      <c r="L6" s="90" t="n"/>
      <c r="M6" s="90" t="n"/>
      <c r="N6" s="90" t="n"/>
      <c r="O6" s="90" t="n"/>
      <c r="P6" s="90" t="n"/>
      <c r="Q6" s="90" t="n"/>
      <c r="R6" s="91" t="n"/>
      <c r="S6" s="91" t="n"/>
      <c r="T6" s="91" t="n"/>
      <c r="U6" s="91" t="n"/>
    </row>
    <row r="7">
      <c r="A7" s="90" t="n"/>
      <c r="B7" s="91" t="n"/>
      <c r="C7" s="93" t="inlineStr">
        <is>
          <t>Số trường hợp kiểm thử chưa thực hiện</t>
        </is>
      </c>
      <c r="D7" s="95">
        <f>D8-D4-D5-D6</f>
        <v/>
      </c>
      <c r="E7" s="90" t="n"/>
      <c r="F7" s="90" t="n"/>
      <c r="G7" s="90" t="n"/>
      <c r="H7" s="90" t="n"/>
      <c r="I7" s="90" t="n"/>
      <c r="J7" s="90" t="n"/>
      <c r="K7" s="90" t="n"/>
      <c r="L7" s="90" t="n"/>
      <c r="M7" s="90" t="n"/>
      <c r="N7" s="90" t="n"/>
      <c r="O7" s="90" t="n"/>
      <c r="P7" s="90" t="n"/>
      <c r="Q7" s="90" t="n"/>
      <c r="R7" s="91" t="n"/>
      <c r="S7" s="91" t="n"/>
      <c r="T7" s="91" t="n"/>
      <c r="U7" s="91" t="n"/>
    </row>
    <row r="8">
      <c r="A8" s="90" t="n"/>
      <c r="B8" s="91" t="n"/>
      <c r="C8" s="93" t="inlineStr">
        <is>
          <t>Tổng số trường hợp kiểm thử</t>
        </is>
      </c>
      <c r="D8" s="95">
        <f>COUNTA($Q$13:$Q$52)</f>
        <v/>
      </c>
      <c r="E8" s="90" t="n"/>
      <c r="F8" s="90" t="n"/>
      <c r="G8" s="90" t="n"/>
      <c r="H8" s="90" t="n"/>
      <c r="I8" s="90" t="n"/>
      <c r="J8" s="90" t="n"/>
      <c r="K8" s="90" t="n"/>
      <c r="L8" s="90" t="n"/>
      <c r="M8" s="90" t="n"/>
      <c r="N8" s="90" t="n"/>
      <c r="O8" s="90" t="n"/>
      <c r="P8" s="90" t="n"/>
      <c r="Q8" s="90" t="n"/>
      <c r="R8" s="91" t="n"/>
      <c r="S8" s="91" t="n"/>
      <c r="T8" s="91" t="n"/>
      <c r="U8" s="91" t="n"/>
    </row>
    <row r="9">
      <c r="A9" s="90" t="n"/>
      <c r="B9" s="91" t="n"/>
      <c r="C9" s="91" t="n"/>
      <c r="D9" s="91" t="n"/>
      <c r="E9" s="90" t="n"/>
      <c r="F9" s="90" t="n"/>
      <c r="G9" s="90" t="n"/>
      <c r="H9" s="90" t="n"/>
      <c r="I9" s="90" t="n"/>
      <c r="J9" s="90" t="n"/>
      <c r="K9" s="90" t="n"/>
      <c r="L9" s="90" t="n"/>
      <c r="M9" s="90" t="n"/>
      <c r="N9" s="90" t="n"/>
      <c r="O9" s="90" t="n"/>
      <c r="P9" s="90" t="n"/>
      <c r="Q9" s="90" t="n"/>
      <c r="R9" s="91" t="n"/>
      <c r="S9" s="91" t="n"/>
      <c r="T9" s="91" t="n"/>
      <c r="U9" s="91" t="n"/>
    </row>
    <row r="10">
      <c r="A10" s="193" t="inlineStr">
        <is>
          <t>Mã trường hợp kiểm thử</t>
        </is>
      </c>
      <c r="B10" s="193" t="inlineStr">
        <is>
          <t>Mục đích kiểm thử</t>
        </is>
      </c>
      <c r="C10" s="193" t="inlineStr">
        <is>
          <t>Các bước thực hiện</t>
        </is>
      </c>
      <c r="D10" s="193" t="inlineStr">
        <is>
          <t>Kết quả mong muốn</t>
        </is>
      </c>
      <c r="E10" s="9" t="inlineStr">
        <is>
          <t>PC</t>
        </is>
      </c>
      <c r="F10" s="210" t="n"/>
      <c r="G10" s="211" t="n"/>
      <c r="H10" s="9" t="inlineStr">
        <is>
          <t>Firefox</t>
        </is>
      </c>
      <c r="I10" s="210" t="n"/>
      <c r="J10" s="211" t="n"/>
      <c r="K10" s="9" t="inlineStr">
        <is>
          <t>&lt;Tên trình duyệt 3&gt;</t>
        </is>
      </c>
      <c r="L10" s="210" t="n"/>
      <c r="M10" s="211" t="n"/>
      <c r="N10" s="9" t="inlineStr">
        <is>
          <t>&lt;Tên trình duyệt 4&gt;</t>
        </is>
      </c>
      <c r="O10" s="210" t="n"/>
      <c r="P10" s="211" t="n"/>
      <c r="Q10" s="9" t="inlineStr">
        <is>
          <t>Kết quả hiện tại</t>
        </is>
      </c>
      <c r="R10" s="9" t="inlineStr">
        <is>
          <t>Mã lỗi</t>
        </is>
      </c>
      <c r="S10" s="9" t="inlineStr">
        <is>
          <t>Ghi chú</t>
        </is>
      </c>
      <c r="T10" s="90" t="n"/>
      <c r="U10" s="90" t="n"/>
      <c r="V10" s="90" t="n"/>
      <c r="W10" s="96" t="n"/>
      <c r="X10" s="96" t="n"/>
      <c r="Y10" s="96" t="n"/>
      <c r="Z10" s="96" t="n"/>
      <c r="AA10" s="96" t="n"/>
      <c r="AB10" s="96" t="n"/>
      <c r="AC10" s="96" t="n"/>
      <c r="AD10" s="96" t="n"/>
      <c r="AE10" s="96" t="n"/>
      <c r="AF10" s="96" t="n"/>
      <c r="AG10" s="96" t="n"/>
      <c r="AH10" s="96" t="n"/>
      <c r="AI10" s="96" t="n"/>
      <c r="AJ10" s="96" t="n"/>
      <c r="AK10" s="96" t="n"/>
      <c r="AL10" s="96" t="n"/>
      <c r="AM10" s="96" t="n"/>
      <c r="AN10" s="96" t="n"/>
      <c r="AO10" s="96" t="n"/>
      <c r="AP10" s="96" t="n"/>
      <c r="AQ10" s="96" t="n"/>
      <c r="AR10" s="96" t="n"/>
      <c r="AS10" s="96" t="n"/>
      <c r="AT10" s="96" t="n"/>
      <c r="AU10" s="96" t="n"/>
    </row>
    <row r="11" ht="31.5" customHeight="1">
      <c r="A11" s="212" t="n"/>
      <c r="B11" s="212" t="n"/>
      <c r="C11" s="212" t="n"/>
      <c r="D11" s="212" t="n"/>
      <c r="E11" s="193" t="inlineStr">
        <is>
          <t>Lần 1</t>
        </is>
      </c>
      <c r="F11" s="193" t="inlineStr">
        <is>
          <t>Lần 2</t>
        </is>
      </c>
      <c r="G11" s="193" t="inlineStr">
        <is>
          <t>Lần 3</t>
        </is>
      </c>
      <c r="H11" s="9" t="inlineStr">
        <is>
          <t>Lần 1</t>
        </is>
      </c>
      <c r="I11" s="9" t="inlineStr">
        <is>
          <t>Lần 2</t>
        </is>
      </c>
      <c r="J11" s="9" t="inlineStr">
        <is>
          <t>Lần 3</t>
        </is>
      </c>
      <c r="K11" s="193" t="inlineStr">
        <is>
          <t>Lần 1</t>
        </is>
      </c>
      <c r="L11" s="193" t="inlineStr">
        <is>
          <t>Lần 2</t>
        </is>
      </c>
      <c r="M11" s="193" t="inlineStr">
        <is>
          <t>Lần 3</t>
        </is>
      </c>
      <c r="N11" s="193" t="inlineStr">
        <is>
          <t>Lần 1</t>
        </is>
      </c>
      <c r="O11" s="193" t="inlineStr">
        <is>
          <t>Lần 2</t>
        </is>
      </c>
      <c r="P11" s="193" t="inlineStr">
        <is>
          <t>Lần 3</t>
        </is>
      </c>
      <c r="Q11" s="213" t="n"/>
      <c r="R11" s="213" t="n"/>
      <c r="S11" s="213" t="n"/>
      <c r="T11" s="90" t="n"/>
      <c r="U11" s="90" t="n"/>
      <c r="V11" s="90" t="n"/>
      <c r="W11" s="96" t="n"/>
      <c r="X11" s="96" t="n"/>
      <c r="Y11" s="96" t="n"/>
      <c r="Z11" s="96" t="n"/>
      <c r="AA11" s="96" t="n"/>
      <c r="AB11" s="96" t="n"/>
      <c r="AC11" s="96" t="n"/>
      <c r="AD11" s="96" t="n"/>
      <c r="AE11" s="96" t="n"/>
      <c r="AF11" s="96" t="n"/>
      <c r="AG11" s="96" t="n"/>
      <c r="AH11" s="96" t="n"/>
      <c r="AI11" s="96" t="n"/>
      <c r="AJ11" s="96" t="n"/>
      <c r="AK11" s="96" t="n"/>
      <c r="AL11" s="96" t="n"/>
      <c r="AM11" s="96" t="n"/>
      <c r="AN11" s="96" t="n"/>
      <c r="AO11" s="96" t="n"/>
      <c r="AP11" s="96" t="n"/>
      <c r="AQ11" s="96" t="n"/>
      <c r="AR11" s="96" t="n"/>
      <c r="AS11" s="96" t="n"/>
      <c r="AT11" s="96" t="n"/>
      <c r="AU11" s="96" t="n"/>
    </row>
    <row r="12" ht="15.75" customFormat="1" customHeight="1" s="92">
      <c r="A12" s="97" t="n"/>
      <c r="B12" s="214" t="inlineStr">
        <is>
          <t xml:space="preserve">NV_08_Thêm hạn xử lý ở Danh sách người cùng nhận_Web
</t>
        </is>
      </c>
      <c r="C12" s="205" t="n"/>
      <c r="D12" s="205" t="n"/>
      <c r="E12" s="205" t="n"/>
      <c r="F12" s="205" t="n"/>
      <c r="G12" s="206" t="n"/>
      <c r="H12" s="131" t="n"/>
      <c r="I12" s="131" t="n"/>
      <c r="J12" s="131" t="n"/>
      <c r="K12" s="131" t="n"/>
      <c r="L12" s="131" t="n"/>
      <c r="M12" s="131" t="n"/>
      <c r="N12" s="131" t="n"/>
      <c r="O12" s="131" t="n"/>
      <c r="P12" s="131" t="n"/>
      <c r="Q12" s="132" t="n"/>
      <c r="R12" s="197" t="n"/>
      <c r="S12" s="133" t="n"/>
      <c r="T12" s="90" t="n"/>
      <c r="U12" s="90" t="n"/>
      <c r="V12" s="90"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row>
    <row r="13" ht="330" customHeight="1">
      <c r="A13" s="97" t="n"/>
      <c r="B13" s="188" t="inlineStr">
        <is>
          <t>A: Các bước thực hiện
Pre- condition:
1. Truy cập hệ thống trên môi trường kiểm thử: &lt;điền link môi trường test&gt;
2. Tài khoản: Văn thư &lt;acc VT&gt;, Lãnh đạo &lt;acc LĐ&gt;, Chuyên viên &lt;acc CV&gt;
3. Dữ liệu chuẩn bị (tạo bằng chính chức năng Chuyển văn bản):
- VB1: văn bản đến, chuyển 1 lần cho 2 cá nhân, CÓ nhập hạn xử lý
- VB2: văn bản đến, chuyển cho 1 cá nhân, KHÔNG nhập hạn
- VB3: văn bản đến, chuyển 2 lần với 2 hạn khác nhau, trong đó 1 lần chuyển cho đơn vị
- VB4: văn bản đến có dòng nhận đã quá hạn, chưa hoàn thành
- VB5: văn bản đã ban hành, đã chuyển đi
- VB6: văn bản mật, đã chuyển cho người có quyền xem mật
- VB7: văn bản chưa chuyển cho ai
- VB8: văn bản có trên 5 dòng trong Danh sách người cùng nhận
- VB9: văn bản qua 2 cấp chuyển, mỗi cấp một hạn khác nhau
B: Mô tả chức năng
Bổ sung cột "Hạn xử lý" vào panel "Danh sách người/ đơn vị cùng nhận" của màn chi tiết văn bản, đặt ngay sau cột "Thời gian chuyển". Mỗi dòng hiển thị hạn xử lý của chính dòng nhận đó. Không có hạn thì để trống. Không tô màu cảnh báo quá hạn. Cột chỉ đọc. Áp dụng cho văn bản đến và văn bản đã ban hành, trên Web và App.
C: Các bảng tác động
- DOCUMENT_IN_STAFF, cột DEADLINE_DATE (chỉ đọc)
- DOCUMENT_IN_GROUP, cột DEADLINE_DATE (chỉ đọc)
- DOCUMENT_PROCESS, dùng để xác định dòng cấp trên (chỉ đọc)
Không thêm bảng, không thêm cột, không cần migration.</t>
        </is>
      </c>
      <c r="C13" s="215" t="n"/>
      <c r="D13" s="215" t="n"/>
      <c r="E13" s="98" t="n"/>
      <c r="F13" s="98" t="n"/>
      <c r="G13" s="98" t="n"/>
      <c r="H13" s="98" t="n"/>
      <c r="I13" s="98" t="n"/>
      <c r="J13" s="98" t="n"/>
      <c r="K13" s="98" t="n"/>
      <c r="L13" s="98" t="n"/>
      <c r="M13" s="98" t="n"/>
      <c r="N13" s="98" t="n"/>
      <c r="O13" s="98" t="n"/>
      <c r="P13" s="98" t="n"/>
      <c r="Q13" s="98" t="n"/>
      <c r="R13" s="11" t="n"/>
      <c r="S13" s="99" t="n"/>
      <c r="T13" s="100" t="n"/>
      <c r="U13" s="100" t="n"/>
      <c r="V13" s="100" t="n"/>
    </row>
    <row r="14" outlineLevel="1" ht="16.15" customHeight="1">
      <c r="A14" s="101">
        <f>IF(AND(C14="",C14=""),"",$D$3&amp;"_"&amp;ROW()-12-COUNTBLANK($C$13:C14))</f>
        <v/>
      </c>
      <c r="B14" s="14" t="inlineStr">
        <is>
          <t>Giao diện (Phần này viết các trường hợp kiểm thử cho giao diên chung và các giao diện cho các control)</t>
        </is>
      </c>
      <c r="C14" s="205" t="n"/>
      <c r="D14" s="205" t="n"/>
      <c r="E14" s="205" t="n"/>
      <c r="F14" s="205" t="n"/>
      <c r="G14" s="205" t="n"/>
      <c r="H14" s="205" t="n"/>
      <c r="I14" s="205" t="n"/>
      <c r="J14" s="205" t="n"/>
      <c r="K14" s="205" t="n"/>
      <c r="L14" s="205" t="n"/>
      <c r="M14" s="205" t="n"/>
      <c r="N14" s="205" t="n"/>
      <c r="O14" s="205" t="n"/>
      <c r="P14" s="205" t="n"/>
      <c r="Q14" s="206" t="n"/>
      <c r="R14" s="114" t="n"/>
      <c r="S14" s="115" t="n"/>
    </row>
    <row r="15" outlineLevel="2">
      <c r="A15" s="101">
        <f>IF(AND(C15="",C15=""),"",$D$3&amp;"_"&amp;ROW()-12-COUNTBLANK($C$13:C15))</f>
        <v/>
      </c>
      <c r="B15" s="130" t="inlineStr">
        <is>
          <t>Kiểm tra tổng thể giao diện màn hình</t>
        </is>
      </c>
      <c r="C15" s="130" t="inlineStr">
        <is>
          <t>1. Mở chi tiết văn bản VB1
2. Mở panel "Danh sách người/ đơn vị cùng nhận"
3. Kiểm tra title, bố cục, font chữ, chính tả của bảng</t>
        </is>
      </c>
      <c r="D15" s="130" t="inlineStr">
        <is>
          <t>1. Bố cục 
- Form được bố trí hợp lý và dễ sử dụng
2. Font chữ và màu chữ: 
- Các text sử dụng cùng 1 loại font chữ, cỡ chữ
- Màu chữ giống giao diện prototype
3. Chính tả: Không có lỗi về chính tả, cấu trúc câu, ngữ pháp trên màn hình</t>
        </is>
      </c>
      <c r="E15" s="109" t="n"/>
      <c r="F15" s="125" t="n"/>
      <c r="G15" s="125" t="n"/>
      <c r="H15" s="124" t="n"/>
      <c r="I15" s="124" t="n"/>
      <c r="J15" s="124" t="n"/>
      <c r="K15" s="124" t="n"/>
      <c r="L15" s="124" t="n"/>
      <c r="M15" s="124" t="n"/>
      <c r="N15" s="124" t="n"/>
      <c r="O15" s="124" t="n"/>
      <c r="P15" s="124" t="n"/>
      <c r="Q15" s="10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26" t="n"/>
      <c r="S15" s="127" t="n"/>
    </row>
    <row r="16" outlineLevel="1" customFormat="1" s="122">
      <c r="A16" s="101">
        <f>IF(AND(C16="",C16=""),"",$D$3&amp;"_"&amp;ROW()-12-COUNTBLANK($C$13:C16))</f>
        <v/>
      </c>
      <c r="B16" s="130" t="inlineStr">
        <is>
          <t>Kiểm tra vị trí và nhãn của cột Hạn xử lý</t>
        </is>
      </c>
      <c r="C16" s="130" t="inlineStr">
        <is>
          <t>1. Mở chi tiết văn bản VB1
2. Mở panel "Danh sách người/ đơn vị cùng nhận"
3. Đếm số cột và kiểm tra thứ tự cột</t>
        </is>
      </c>
      <c r="D16" s="130" t="inlineStr">
        <is>
          <t>Bảng hiển thị 9 cột. Cột "Hạn xử lý" nằm ở vị trí thứ 3, ngay sau cột "Thời gian chuyển" và trước cột "Người chuyển".
7 cột cũ giữ nguyên tên và thứ tự tương đối.
Nhãn cột đúng chính tả, cùng font và cỡ chữ với các nhãn cột còn lại.</t>
        </is>
      </c>
      <c r="E16" s="109" t="n"/>
      <c r="F16" s="125" t="n"/>
      <c r="G16" s="125" t="n"/>
      <c r="H16" s="124" t="n"/>
      <c r="I16" s="124" t="n"/>
      <c r="J16" s="124" t="n"/>
      <c r="K16" s="124" t="n"/>
      <c r="L16" s="124" t="n"/>
      <c r="M16" s="124" t="n"/>
      <c r="N16" s="124" t="n"/>
      <c r="O16" s="124" t="n"/>
      <c r="P16" s="124" t="n"/>
      <c r="Q16" s="10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26" t="n"/>
      <c r="S16" s="127" t="n"/>
    </row>
    <row r="17" outlineLevel="2" customFormat="1" s="92">
      <c r="A17" s="101">
        <f>IF(AND(C17="",C17=""),"",$D$3&amp;"_"&amp;ROW()-12-COUNTBLANK($C$13:C17))</f>
        <v/>
      </c>
      <c r="B17" s="130" t="inlineStr">
        <is>
          <t>Kiểm tra căn lề và định dạng hiển thị của cột Hạn xử lý</t>
        </is>
      </c>
      <c r="C17" s="130" t="inlineStr">
        <is>
          <t>1. Mở chi tiết văn bản VB1
2. Quan sát nội dung các ô của cột Hạn xử lý</t>
        </is>
      </c>
      <c r="D17" s="130" t="inlineStr">
        <is>
          <t>Giá trị hiển thị dạng dd/MM/yyyy, ví dụ 15/10/2026.
Không hiển thị giờ phút, khác với cột "Thời gian chuyển" bên cạnh.
Nội dung căn giữa, cùng màu chữ với các cột khác, không in đậm, không tô màu nền.</t>
        </is>
      </c>
      <c r="E17" s="109" t="n"/>
      <c r="F17" s="125" t="n"/>
      <c r="G17" s="125" t="n"/>
      <c r="H17" s="124" t="n"/>
      <c r="I17" s="124" t="n"/>
      <c r="J17" s="124" t="n"/>
      <c r="K17" s="124" t="n"/>
      <c r="L17" s="124" t="n"/>
      <c r="M17" s="124" t="n"/>
      <c r="N17" s="124" t="n"/>
      <c r="O17" s="124" t="n"/>
      <c r="P17" s="124" t="n"/>
      <c r="Q17" s="10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26" t="n"/>
      <c r="S17" s="127" t="n"/>
    </row>
    <row r="18" outlineLevel="3" customFormat="1" s="105">
      <c r="A18" s="101">
        <f>IF(AND(C18="",C18=""),"",$D$3&amp;"_"&amp;ROW()-12-COUNTBLANK($C$13:C18))</f>
        <v/>
      </c>
      <c r="B18" s="130" t="inlineStr">
        <is>
          <t>Kiểm tra bảng không tràn ngang sau khi thêm cột</t>
        </is>
      </c>
      <c r="C18" s="130" t="inlineStr">
        <is>
          <t>1. Mở chi tiết văn bản VB8 ở độ phân giải thường dùng
2. Thu nhỏ cửa sổ trình duyệt
3. Nhấn Ctrl và dấu trừ, Ctrl và dấu bằng để thu nhỏ, phóng to</t>
        </is>
      </c>
      <c r="D18" s="130" t="inlineStr">
        <is>
          <t>Bảng hiển thị đủ 9 cột, không phải cuộn ngang ở độ phân giải thường dùng.
Thu nhỏ, phóng to không vỡ bố cục, không chồng chữ.
Trỏ chuột vào ô tên đơn vị bị cắt chữ vẫn hiện đầy đủ nội dung.</t>
        </is>
      </c>
      <c r="E18" s="109" t="n"/>
      <c r="F18" s="125" t="n"/>
      <c r="G18" s="125" t="n"/>
      <c r="H18" s="124" t="n"/>
      <c r="I18" s="124" t="n"/>
      <c r="J18" s="124" t="n"/>
      <c r="K18" s="124" t="n"/>
      <c r="L18" s="124" t="n"/>
      <c r="M18" s="124" t="n"/>
      <c r="N18" s="124" t="n"/>
      <c r="O18" s="124" t="n"/>
      <c r="P18" s="124" t="n"/>
      <c r="Q18" s="108">
        <f>IF(OR(IF(G18="",IF(F18="",IF(E18="","",E18),F18),G18)="F",IF(J18="",IF(I18="",IF(H18="","",H18),I18),J18)="F",IF(M18="",IF(L18="",IF(K18="","",K18),L18),M18)="F",IF(P18="",IF(O18="",IF(N18="","",N18),O18),P18)="F")=TRUE,"F",IF(OR(IF(G18="",IF(F18="",IF(E18="","",E18),F18),G18)="PE",IF(J18="",IF(I18="",IF(H18="","",H18),I18),J18)="PE",IF(M18="",IF(L18="",IF(K18="","",K18),L18),M18)="PE",IF(P18="",IF(O18="",IF(N18="","",N18),O18),P18)="PE")=TRUE,"PE",IF(AND(IF(G18="",IF(F18="",IF(E18="","",E18),F18),G18)="",IF(J18="",IF(I18="",IF(H18="","",H18),I18),J18)="",IF(M18="",IF(L18="",IF(K18="","",K18),L18),M18)="",IF(P18="",IF(O18="",IF(N18="","",N18),O18),P18)="")=TRUE,"","P")))</f>
        <v/>
      </c>
      <c r="R18" s="126" t="n"/>
      <c r="S18" s="127" t="n"/>
    </row>
    <row r="19" outlineLevel="3" customFormat="1" s="105">
      <c r="A19" s="101">
        <f>IF(AND(C19="",C19=""),"",$D$3&amp;"_"&amp;ROW()-12-COUNTBLANK($C$13:C19))</f>
        <v/>
      </c>
      <c r="B19" s="130" t="inlineStr">
        <is>
          <t>Kiểm tra cột Hạn xử lý là cột chỉ đọc</t>
        </is>
      </c>
      <c r="C19" s="130" t="inlineStr">
        <is>
          <t>1. Mở chi tiết văn bản VB1
2. Click vào một ô của cột Hạn xử lý
3. Double click vào ô đó</t>
        </is>
      </c>
      <c r="D19" s="130" t="inlineStr">
        <is>
          <t>Không có sự kiện nào xảy ra: không mở popup, không vào chế độ chỉnh sửa, không sửa được giá trị, không có chức năng gia hạn tại panel.</t>
        </is>
      </c>
      <c r="E19" s="109" t="n"/>
      <c r="F19" s="125" t="n"/>
      <c r="G19" s="125" t="n"/>
      <c r="H19" s="124" t="n"/>
      <c r="I19" s="124" t="n"/>
      <c r="J19" s="124" t="n"/>
      <c r="K19" s="124" t="n"/>
      <c r="L19" s="124" t="n"/>
      <c r="M19" s="124" t="n"/>
      <c r="N19" s="124" t="n"/>
      <c r="O19" s="124" t="n"/>
      <c r="P19" s="124" t="n"/>
      <c r="Q19" s="108">
        <f>IF(OR(IF(G19="",IF(F19="",IF(E19="","",E19),F19),G19)="F",IF(J19="",IF(I19="",IF(H19="","",H19),I19),J19)="F",IF(M19="",IF(L19="",IF(K19="","",K19),L19),M19)="F",IF(P19="",IF(O19="",IF(N19="","",N19),O19),P19)="F")=TRUE,"F",IF(OR(IF(G19="",IF(F19="",IF(E19="","",E19),F19),G19)="PE",IF(J19="",IF(I19="",IF(H19="","",H19),I19),J19)="PE",IF(M19="",IF(L19="",IF(K19="","",K19),L19),M19)="PE",IF(P19="",IF(O19="",IF(N19="","",N19),O19),P19)="PE")=TRUE,"PE",IF(AND(IF(G19="",IF(F19="",IF(E19="","",E19),F19),G19)="",IF(J19="",IF(I19="",IF(H19="","",H19),I19),J19)="",IF(M19="",IF(L19="",IF(K19="","",K19),L19),M19)="",IF(P19="",IF(O19="",IF(N19="","",N19),O19),P19)="")=TRUE,"","P")))</f>
        <v/>
      </c>
      <c r="R19" s="126" t="n"/>
      <c r="S19" s="127" t="n"/>
    </row>
    <row r="20" outlineLevel="3" ht="16.15" customFormat="1" customHeight="1" s="105">
      <c r="A20" s="101">
        <f>IF(AND(C20="",C20=""),"",$D$3&amp;"_"&amp;ROW()-12-COUNTBLANK($C$13:C20))</f>
        <v/>
      </c>
      <c r="B20" s="14" t="inlineStr">
        <is>
          <t>Chức năng (Phần này viết các trường hợp kiểm thử kiểm tra các ràng buộc trong cơ sở dữ liệu và cho các luồng nghiệp vụ trong tài liệu giải pháp, tích hợp với các chức năng khác)</t>
        </is>
      </c>
      <c r="C20" s="205" t="n"/>
      <c r="D20" s="205" t="n"/>
      <c r="E20" s="205" t="n"/>
      <c r="F20" s="205" t="n"/>
      <c r="G20" s="205" t="n"/>
      <c r="H20" s="205" t="n"/>
      <c r="I20" s="205" t="n"/>
      <c r="J20" s="205" t="n"/>
      <c r="K20" s="205" t="n"/>
      <c r="L20" s="205" t="n"/>
      <c r="M20" s="205" t="n"/>
      <c r="N20" s="205" t="n"/>
      <c r="O20" s="205" t="n"/>
      <c r="P20" s="205" t="n"/>
      <c r="Q20" s="206" t="n"/>
      <c r="R20" s="114" t="n"/>
      <c r="S20" s="115" t="n"/>
    </row>
    <row r="21" outlineLevel="3" ht="16.15" customFormat="1" customHeight="1" s="105">
      <c r="A21" s="101">
        <f>IF(AND(C21="",C21=""),"",$D$3&amp;"_"&amp;ROW()-12-COUNTBLANK($C$13:C21))</f>
        <v/>
      </c>
      <c r="B21" s="216" t="inlineStr">
        <is>
          <t>Hiển thị hạn xử lý trên văn bản đến</t>
        </is>
      </c>
      <c r="C21" s="205" t="n"/>
      <c r="D21" s="205" t="n"/>
      <c r="E21" s="205" t="n"/>
      <c r="F21" s="205" t="n"/>
      <c r="G21" s="205" t="n"/>
      <c r="H21" s="205" t="n"/>
      <c r="I21" s="205" t="n"/>
      <c r="J21" s="205" t="n"/>
      <c r="K21" s="205" t="n"/>
      <c r="L21" s="205" t="n"/>
      <c r="M21" s="205" t="n"/>
      <c r="N21" s="205" t="n"/>
      <c r="O21" s="205" t="n"/>
      <c r="P21" s="205" t="n"/>
      <c r="Q21" s="206" t="n"/>
      <c r="R21" s="110" t="n"/>
      <c r="S21" s="111" t="n"/>
    </row>
    <row r="22" outlineLevel="3" customFormat="1" s="105">
      <c r="A22" s="101">
        <f>IF(AND(C22="",C22=""),"",$D$3&amp;"_"&amp;ROW()-12-COUNTBLANK($C$13:C22))</f>
        <v/>
      </c>
      <c r="B22" s="130" t="inlineStr">
        <is>
          <t>Kiểm tra hiển thị hạn của dòng nhận là cá nhân</t>
        </is>
      </c>
      <c r="C22" s="130" t="inlineStr">
        <is>
          <t>1. Chuyển VB1 cho chuyên viên A kèm hạn 15/10/2026
2. Mở chi tiết VB1
3. Mở panel người cùng nhận, xem dòng của chuyên viên A</t>
        </is>
      </c>
      <c r="D22" s="130" t="inlineStr">
        <is>
          <t>Cột Hạn xử lý của dòng chuyên viên A hiển thị đúng 15/10/2026, trùng với hạn đã nhập trong popup Chuyển văn bản.</t>
        </is>
      </c>
      <c r="E22" s="109" t="n"/>
      <c r="F22" s="125" t="n"/>
      <c r="G22" s="125" t="n"/>
      <c r="H22" s="124" t="n"/>
      <c r="I22" s="124" t="n"/>
      <c r="J22" s="124" t="n"/>
      <c r="K22" s="124" t="n"/>
      <c r="L22" s="124" t="n"/>
      <c r="M22" s="124" t="n"/>
      <c r="N22" s="124" t="n"/>
      <c r="O22" s="124" t="n"/>
      <c r="P22" s="124" t="n"/>
      <c r="Q22" s="10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26" t="n"/>
      <c r="S22" s="127" t="n"/>
    </row>
    <row r="23" outlineLevel="3" customFormat="1" s="105">
      <c r="A23" s="101">
        <f>IF(AND(C23="",C23=""),"",$D$3&amp;"_"&amp;ROW()-12-COUNTBLANK($C$13:C23))</f>
        <v/>
      </c>
      <c r="B23" s="130" t="inlineStr">
        <is>
          <t>Kiểm tra hiển thị hạn của dòng nhận là đơn vị</t>
        </is>
      </c>
      <c r="C23" s="130" t="inlineStr">
        <is>
          <t>1. Chuyển VB3 cho một đơn vị kèm hạn 20/10/2026
2. Mở chi tiết VB3
3. Xem dòng có cột Người nhận trống, cột Đơn vị nhận có tên đơn vị</t>
        </is>
      </c>
      <c r="D23" s="130" t="inlineStr">
        <is>
          <t>Cột Hạn xử lý của dòng đơn vị hiển thị đúng 20/10/2026.
Cột Người nhận vẫn để trống như hiện tại.</t>
        </is>
      </c>
      <c r="E23" s="109" t="n"/>
      <c r="F23" s="125" t="n"/>
      <c r="G23" s="125" t="n"/>
      <c r="H23" s="124" t="n"/>
      <c r="I23" s="124" t="n"/>
      <c r="J23" s="124" t="n"/>
      <c r="K23" s="124" t="n"/>
      <c r="L23" s="124" t="n"/>
      <c r="M23" s="124" t="n"/>
      <c r="N23" s="124" t="n"/>
      <c r="O23" s="124" t="n"/>
      <c r="P23" s="124" t="n"/>
      <c r="Q23" s="10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26" t="n"/>
      <c r="S23" s="127" t="n"/>
    </row>
    <row r="24" outlineLevel="3" customFormat="1" s="105">
      <c r="A24" s="101">
        <f>IF(AND(C24="",C24=""),"",$D$3&amp;"_"&amp;ROW()-12-COUNTBLANK($C$13:C24))</f>
        <v/>
      </c>
      <c r="B24" s="130" t="inlineStr">
        <is>
          <t>Kiểm tra dòng nhận không được giao hạn</t>
        </is>
      </c>
      <c r="C24" s="130" t="inlineStr">
        <is>
          <t>1. Mở chi tiết văn bản VB2 (chuyển không nhập hạn)
2. Xem cột Hạn xử lý của dòng đó</t>
        </is>
      </c>
      <c r="D24" s="130" t="inlineStr">
        <is>
          <t>Ô Hạn xử lý để trống hoàn toàn.
Không hiển thị chữ "Không có hạn", không hiển thị dấu gạch ngang, không hiển thị số 0.
Không lấy hạn của sổ văn bản đến hay hạn của văn bản để điền thay.</t>
        </is>
      </c>
      <c r="E24" s="109" t="n"/>
      <c r="F24" s="125" t="n"/>
      <c r="G24" s="125" t="n"/>
      <c r="H24" s="124" t="n"/>
      <c r="I24" s="124" t="n"/>
      <c r="J24" s="124" t="n"/>
      <c r="K24" s="124" t="n"/>
      <c r="L24" s="124" t="n"/>
      <c r="M24" s="124" t="n"/>
      <c r="N24" s="124" t="n"/>
      <c r="O24" s="124" t="n"/>
      <c r="P24" s="124" t="n"/>
      <c r="Q24" s="10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26" t="n"/>
      <c r="S24" s="127" t="n"/>
    </row>
    <row r="25" outlineLevel="3" customFormat="1" s="105">
      <c r="A25" s="101">
        <f>IF(AND(C25="",C25=""),"",$D$3&amp;"_"&amp;ROW()-12-COUNTBLANK($C$13:C25))</f>
        <v/>
      </c>
      <c r="B25" s="130" t="inlineStr">
        <is>
          <t>Kiểm tra văn bản chuyển nhiều lần với nhiều hạn khác nhau</t>
        </is>
      </c>
      <c r="C25" s="130" t="inlineStr">
        <is>
          <t>1. Mở chi tiết VB3 (lần 1 cho cá nhân hạn 10/10/2026, lần 2 cho đơn vị hạn 20/10/2026)
2. So sánh cột Hạn xử lý của từng dòng</t>
        </is>
      </c>
      <c r="D25" s="130" t="inlineStr">
        <is>
          <t>Dòng của lần chuyển 1 hiển thị 10/10/2026, dòng của lần chuyển 2 hiển thị 20/10/2026.
Không dòng nào bị lấy hạn của dòng khác. Hệ thống không đồng nhất các dòng về một hạn.</t>
        </is>
      </c>
      <c r="E25" s="109" t="n"/>
      <c r="F25" s="125" t="n"/>
      <c r="G25" s="125" t="n"/>
      <c r="H25" s="124" t="n"/>
      <c r="I25" s="124" t="n"/>
      <c r="J25" s="124" t="n"/>
      <c r="K25" s="124" t="n"/>
      <c r="L25" s="124" t="n"/>
      <c r="M25" s="124" t="n"/>
      <c r="N25" s="124" t="n"/>
      <c r="O25" s="124" t="n"/>
      <c r="P25" s="124" t="n"/>
      <c r="Q25" s="10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26" t="n"/>
      <c r="S25" s="127" t="n"/>
    </row>
    <row r="26" outlineLevel="3" customFormat="1" s="105">
      <c r="A26" s="101">
        <f>IF(AND(C26="",C26=""),"",$D$3&amp;"_"&amp;ROW()-12-COUNTBLANK($C$13:C26))</f>
        <v/>
      </c>
      <c r="B26" s="130" t="inlineStr">
        <is>
          <t>Kiểm tra dòng của cấp chuyển trước trong chuỗi chuyển</t>
        </is>
      </c>
      <c r="C26" s="130" t="inlineStr">
        <is>
          <t>1. Mở chi tiết VB9 bằng tài khoản chuyên viên nhận ở cấp 2
2. Xem dòng của cấp chuyển trước và dòng của chính mình</t>
        </is>
      </c>
      <c r="D26" s="130" t="inlineStr">
        <is>
          <t>Dòng cấp trên hiển thị hạn của cấp đó, dòng của mình hiển thị hạn của mình. Hai hạn độc lập, đúng theo từng lần chuyển.</t>
        </is>
      </c>
      <c r="E26" s="109" t="n"/>
      <c r="F26" s="125" t="n"/>
      <c r="G26" s="125" t="n"/>
      <c r="H26" s="124" t="n"/>
      <c r="I26" s="124" t="n"/>
      <c r="J26" s="124" t="n"/>
      <c r="K26" s="124" t="n"/>
      <c r="L26" s="124" t="n"/>
      <c r="M26" s="124" t="n"/>
      <c r="N26" s="124" t="n"/>
      <c r="O26" s="124" t="n"/>
      <c r="P26" s="124" t="n"/>
      <c r="Q26" s="108">
        <f>IF(OR(IF(G26="",IF(F26="",IF(E26="","",E26),F26),G26)="F",IF(J26="",IF(I26="",IF(H26="","",H26),I26),J26)="F",IF(M26="",IF(L26="",IF(K26="","",K26),L26),M26)="F",IF(P26="",IF(O26="",IF(N26="","",N26),O26),P26)="F")=TRUE,"F",IF(OR(IF(G26="",IF(F26="",IF(E26="","",E26),F26),G26)="PE",IF(J26="",IF(I26="",IF(H26="","",H26),I26),J26)="PE",IF(M26="",IF(L26="",IF(K26="","",K26),L26),M26)="PE",IF(P26="",IF(O26="",IF(N26="","",N26),O26),P26)="PE")=TRUE,"PE",IF(AND(IF(G26="",IF(F26="",IF(E26="","",E26),F26),G26)="",IF(J26="",IF(I26="",IF(H26="","",H26),I26),J26)="",IF(M26="",IF(L26="",IF(K26="","",K26),L26),M26)="",IF(P26="",IF(O26="",IF(N26="","",N26),O26),P26)="")=TRUE,"","P")))</f>
        <v/>
      </c>
      <c r="R26" s="126" t="n"/>
      <c r="S26" s="127" t="n"/>
    </row>
    <row r="27" outlineLevel="2" customFormat="1" s="92">
      <c r="A27" s="101">
        <f>IF(AND(C27="",C27=""),"",$D$3&amp;"_"&amp;ROW()-12-COUNTBLANK($C$13:C27))</f>
        <v/>
      </c>
      <c r="B27" s="130" t="inlineStr">
        <is>
          <t>Kiểm tra dòng đã quá hạn</t>
        </is>
      </c>
      <c r="C27" s="130" t="inlineStr">
        <is>
          <t>1. Mở chi tiết VB4 có dòng nhận hạn nhỏ hơn ngày hiện tại
2. Quan sát dòng đó</t>
        </is>
      </c>
      <c r="D27" s="130" t="inlineStr">
        <is>
          <t>Hạn hiển thị bình thường như mọi dòng khác: không tô đỏ, không in đậm, không gắn biểu tượng cảnh báo, không có dòng chú thích quá hạn.</t>
        </is>
      </c>
      <c r="E27" s="109" t="n"/>
      <c r="F27" s="125" t="n"/>
      <c r="G27" s="125" t="n"/>
      <c r="H27" s="124" t="n"/>
      <c r="I27" s="124" t="n"/>
      <c r="J27" s="124" t="n"/>
      <c r="K27" s="124" t="n"/>
      <c r="L27" s="124" t="n"/>
      <c r="M27" s="124" t="n"/>
      <c r="N27" s="124" t="n"/>
      <c r="O27" s="124" t="n"/>
      <c r="P27" s="124" t="n"/>
      <c r="Q27" s="108">
        <f>IF(OR(IF(G27="",IF(F27="",IF(E27="","",E27),F27),G27)="F",IF(J27="",IF(I27="",IF(H27="","",H27),I27),J27)="F",IF(M27="",IF(L27="",IF(K27="","",K27),L27),M27)="F",IF(P27="",IF(O27="",IF(N27="","",N27),O27),P27)="F")=TRUE,"F",IF(OR(IF(G27="",IF(F27="",IF(E27="","",E27),F27),G27)="PE",IF(J27="",IF(I27="",IF(H27="","",H27),I27),J27)="PE",IF(M27="",IF(L27="",IF(K27="","",K27),L27),M27)="PE",IF(P27="",IF(O27="",IF(N27="","",N27),O27),P27)="PE")=TRUE,"PE",IF(AND(IF(G27="",IF(F27="",IF(E27="","",E27),F27),G27)="",IF(J27="",IF(I27="",IF(H27="","",H27),I27),J27)="",IF(M27="",IF(L27="",IF(K27="","",K27),L27),M27)="",IF(P27="",IF(O27="",IF(N27="","",N27),O27),P27)="")=TRUE,"","P")))</f>
        <v/>
      </c>
      <c r="R27" s="126" t="n"/>
      <c r="S27" s="127" t="n"/>
    </row>
    <row r="28" outlineLevel="3" customFormat="1" s="105">
      <c r="A28" s="101">
        <f>IF(AND(C28="",C28=""),"",$D$3&amp;"_"&amp;ROW()-12-COUNTBLANK($C$13:C28))</f>
        <v/>
      </c>
      <c r="B28" s="130" t="inlineStr">
        <is>
          <t>Đối chiếu hạn hiển thị với dữ liệu trong CSDL</t>
        </is>
      </c>
      <c r="C28" s="130" t="inlineStr">
        <is>
          <t>1. Mở chi tiết VB3, ghi lại hạn của từng dòng
2. Chạy câu lệnh đọc:
SELECT DOCUMENT_IN_STAFFID, DEADLINE_DATE FROM DOCUMENT_IN_STAFF WHERE DOCUMENTID = &lt;id VB3&gt;;
SELECT DOCUMENT_IN_GROUP_ID, DEADLINE_DATE FROM DOCUMENT_IN_GROUP WHERE DOCUMENT_ID = &lt;id VB3&gt;;</t>
        </is>
      </c>
      <c r="D28" s="130" t="inlineStr">
        <is>
          <t>Hạn hiển thị trên từng dòng khớp tuyệt đối với cột DEADLINE_DATE của dòng nhận tương ứng.
Dòng có DEADLINE_DATE rỗng thì ô trên màn hình để trống.</t>
        </is>
      </c>
      <c r="E28" s="109" t="n"/>
      <c r="F28" s="125" t="n"/>
      <c r="G28" s="125" t="n"/>
      <c r="H28" s="124" t="n"/>
      <c r="I28" s="124" t="n"/>
      <c r="J28" s="124" t="n"/>
      <c r="K28" s="124" t="n"/>
      <c r="L28" s="124" t="n"/>
      <c r="M28" s="124" t="n"/>
      <c r="N28" s="124" t="n"/>
      <c r="O28" s="124" t="n"/>
      <c r="P28" s="124" t="n"/>
      <c r="Q28" s="108">
        <f>IF(OR(IF(G28="",IF(F28="",IF(E28="","",E28),F28),G28)="F",IF(J28="",IF(I28="",IF(H28="","",H28),I28),J28)="F",IF(M28="",IF(L28="",IF(K28="","",K28),L28),M28)="F",IF(P28="",IF(O28="",IF(N28="","",N28),O28),P28)="F")=TRUE,"F",IF(OR(IF(G28="",IF(F28="",IF(E28="","",E28),F28),G28)="PE",IF(J28="",IF(I28="",IF(H28="","",H28),I28),J28)="PE",IF(M28="",IF(L28="",IF(K28="","",K28),L28),M28)="PE",IF(P28="",IF(O28="",IF(N28="","",N28),O28),P28)="PE")=TRUE,"PE",IF(AND(IF(G28="",IF(F28="",IF(E28="","",E28),F28),G28)="",IF(J28="",IF(I28="",IF(H28="","",H28),I28),J28)="",IF(M28="",IF(L28="",IF(K28="","",K28),L28),M28)="",IF(P28="",IF(O28="",IF(N28="","",N28),O28),P28)="")=TRUE,"","P")))</f>
        <v/>
      </c>
      <c r="R28" s="126" t="n"/>
      <c r="S28" s="127" t="inlineStr">
        <is>
          <t>Điền id văn bản thật khi chạy. Chỉ dùng câu lệnh SELECT trên CSDL dùng chung.</t>
        </is>
      </c>
    </row>
    <row r="29" outlineLevel="3" customFormat="1" s="105">
      <c r="A29" s="101">
        <f>IF(AND(C29="",C29=""),"",$D$3&amp;"_"&amp;ROW()-12-COUNTBLANK($C$13:C29))</f>
        <v/>
      </c>
      <c r="B29" s="130" t="inlineStr">
        <is>
          <t>Kiểm tra cột Hạn xử lý khi danh sách có nhiều trang</t>
        </is>
      </c>
      <c r="C29" s="130" t="inlineStr">
        <is>
          <t>1. Mở chi tiết VB8 có trên 5 dòng người cùng nhận
2. Xem trang 1
3. Chuyển sang trang 2 và các trang sau</t>
        </is>
      </c>
      <c r="D29" s="130" t="inlineStr">
        <is>
          <t>Phân trang giữ nguyên 5 dòng một trang.
Cột Hạn xử lý hiển thị ở mọi trang, giá trị đúng theo từng dòng, không bị lặp lại giá trị của trang trước.</t>
        </is>
      </c>
      <c r="E29" s="109" t="n"/>
      <c r="F29" s="125" t="n"/>
      <c r="G29" s="125" t="n"/>
      <c r="H29" s="124" t="n"/>
      <c r="I29" s="124" t="n"/>
      <c r="J29" s="124" t="n"/>
      <c r="K29" s="124" t="n"/>
      <c r="L29" s="124" t="n"/>
      <c r="M29" s="124" t="n"/>
      <c r="N29" s="124" t="n"/>
      <c r="O29" s="124" t="n"/>
      <c r="P29" s="124" t="n"/>
      <c r="Q29" s="10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26" t="n"/>
      <c r="S29" s="127" t="n"/>
    </row>
    <row r="30" outlineLevel="3" customFormat="1" s="105">
      <c r="A30" s="101">
        <f>IF(AND(C30="",C30=""),"",$D$3&amp;"_"&amp;ROW()-12-COUNTBLANK($C$13:C30))</f>
        <v/>
      </c>
      <c r="B30" s="130" t="inlineStr">
        <is>
          <t>Kiểm tra sau khi thu hồi một dòng đã chuyển</t>
        </is>
      </c>
      <c r="C30" s="130" t="inlineStr">
        <is>
          <t>1. Mở chi tiết VB3
2. Thu hồi một dòng đã chuyển
3. Mở lại chi tiết và xem danh sách</t>
        </is>
      </c>
      <c r="D30" s="130" t="inlineStr">
        <is>
          <t>Dòng bị thu hồi không còn trong danh sách, đúng như hiện tại.
Các dòng còn lại giữ nguyên hạn đúng của mình.</t>
        </is>
      </c>
      <c r="E30" s="109" t="n"/>
      <c r="F30" s="125" t="n"/>
      <c r="G30" s="125" t="n"/>
      <c r="H30" s="124" t="n"/>
      <c r="I30" s="124" t="n"/>
      <c r="J30" s="124" t="n"/>
      <c r="K30" s="124" t="n"/>
      <c r="L30" s="124" t="n"/>
      <c r="M30" s="124" t="n"/>
      <c r="N30" s="124" t="n"/>
      <c r="O30" s="124" t="n"/>
      <c r="P30" s="124" t="n"/>
      <c r="Q30" s="10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26" t="n"/>
      <c r="S30" s="127" t="n"/>
    </row>
    <row r="31" outlineLevel="3" ht="16.15" customFormat="1" customHeight="1" s="105">
      <c r="A31" s="101">
        <f>IF(AND(C31="",C31=""),"",$D$3&amp;"_"&amp;ROW()-12-COUNTBLANK($C$13:C31))</f>
        <v/>
      </c>
      <c r="B31" s="216" t="inlineStr">
        <is>
          <t>Văn bản đã ban hành</t>
        </is>
      </c>
      <c r="C31" s="205" t="n"/>
      <c r="D31" s="205" t="n"/>
      <c r="E31" s="205" t="n"/>
      <c r="F31" s="205" t="n"/>
      <c r="G31" s="205" t="n"/>
      <c r="H31" s="205" t="n"/>
      <c r="I31" s="205" t="n"/>
      <c r="J31" s="205" t="n"/>
      <c r="K31" s="205" t="n"/>
      <c r="L31" s="205" t="n"/>
      <c r="M31" s="205" t="n"/>
      <c r="N31" s="205" t="n"/>
      <c r="O31" s="205" t="n"/>
      <c r="P31" s="205" t="n"/>
      <c r="Q31" s="206" t="n"/>
      <c r="R31" s="110" t="n"/>
      <c r="S31" s="111" t="n"/>
    </row>
    <row r="32" outlineLevel="3" customFormat="1" s="105">
      <c r="A32" s="101">
        <f>IF(AND(C32="",C32=""),"",$D$3&amp;"_"&amp;ROW()-12-COUNTBLANK($C$13:C32))</f>
        <v/>
      </c>
      <c r="B32" s="130" t="inlineStr">
        <is>
          <t>Kiểm tra hiển thị cột trên văn bản đã ban hành</t>
        </is>
      </c>
      <c r="C32" s="130" t="inlineStr">
        <is>
          <t>1. Mở chi tiết văn bản VB5 đã ban hành
2. Mở panel người cùng nhận</t>
        </is>
      </c>
      <c r="D32" s="130" t="inlineStr">
        <is>
          <t>Cột Hạn xử lý vẫn hiển thị dù các dòng không có hạn.
Các ô để trống.
Cột không bị ẩn, không bị dồn cột.</t>
        </is>
      </c>
      <c r="E32" s="109" t="n"/>
      <c r="F32" s="125" t="n"/>
      <c r="G32" s="125" t="n"/>
      <c r="H32" s="124" t="n"/>
      <c r="I32" s="124" t="n"/>
      <c r="J32" s="124" t="n"/>
      <c r="K32" s="124" t="n"/>
      <c r="L32" s="124" t="n"/>
      <c r="M32" s="124" t="n"/>
      <c r="N32" s="124" t="n"/>
      <c r="O32" s="124" t="n"/>
      <c r="P32" s="124" t="n"/>
      <c r="Q32" s="108">
        <f>IF(OR(IF(G32="",IF(F32="",IF(E32="","",E32),F32),G32)="F",IF(J32="",IF(I32="",IF(H32="","",H32),I32),J32)="F",IF(M32="",IF(L32="",IF(K32="","",K32),L32),M32)="F",IF(P32="",IF(O32="",IF(N32="","",N32),O32),P32)="F")=TRUE,"F",IF(OR(IF(G32="",IF(F32="",IF(E32="","",E32),F32),G32)="PE",IF(J32="",IF(I32="",IF(H32="","",H32),I32),J32)="PE",IF(M32="",IF(L32="",IF(K32="","",K32),L32),M32)="PE",IF(P32="",IF(O32="",IF(N32="","",N32),O32),P32)="PE")=TRUE,"PE",IF(AND(IF(G32="",IF(F32="",IF(E32="","",E32),F32),G32)="",IF(J32="",IF(I32="",IF(H32="","",H32),I32),J32)="",IF(M32="",IF(L32="",IF(K32="","",K32),L32),M32)="",IF(P32="",IF(O32="",IF(N32="","",N32),O32),P32)="")=TRUE,"","P")))</f>
        <v/>
      </c>
      <c r="R32" s="126" t="n"/>
      <c r="S32" s="127" t="n"/>
    </row>
    <row r="33" outlineLevel="3" customFormat="1" s="105">
      <c r="A33" s="101">
        <f>IF(AND(C33="",C33=""),"",$D$3&amp;"_"&amp;ROW()-12-COUNTBLANK($C$13:C33))</f>
        <v/>
      </c>
      <c r="B33" s="130" t="inlineStr">
        <is>
          <t>Kiểm tra văn bản đã ban hành có dòng nhận được giao hạn</t>
        </is>
      </c>
      <c r="C33" s="130" t="inlineStr">
        <is>
          <t>1. Chuyển tiếp VB5 cho một cá nhân kèm hạn
2. Mở lại chi tiết VB5</t>
        </is>
      </c>
      <c r="D33" s="130" t="inlineStr">
        <is>
          <t>Dòng vừa chuyển hiển thị đúng hạn đã nhập, các dòng cũ vẫn để trống.</t>
        </is>
      </c>
      <c r="E33" s="109" t="n"/>
      <c r="F33" s="125" t="n"/>
      <c r="G33" s="125" t="n"/>
      <c r="H33" s="124" t="n"/>
      <c r="I33" s="124" t="n"/>
      <c r="J33" s="124" t="n"/>
      <c r="K33" s="124" t="n"/>
      <c r="L33" s="124" t="n"/>
      <c r="M33" s="124" t="n"/>
      <c r="N33" s="124" t="n"/>
      <c r="O33" s="124" t="n"/>
      <c r="P33" s="124" t="n"/>
      <c r="Q33" s="108">
        <f>IF(OR(IF(G33="",IF(F33="",IF(E33="","",E33),F33),G33)="F",IF(J33="",IF(I33="",IF(H33="","",H33),I33),J33)="F",IF(M33="",IF(L33="",IF(K33="","",K33),L33),M33)="F",IF(P33="",IF(O33="",IF(N33="","",N33),O33),P33)="F")=TRUE,"F",IF(OR(IF(G33="",IF(F33="",IF(E33="","",E33),F33),G33)="PE",IF(J33="",IF(I33="",IF(H33="","",H33),I33),J33)="PE",IF(M33="",IF(L33="",IF(K33="","",K33),L33),M33)="PE",IF(P33="",IF(O33="",IF(N33="","",N33),O33),P33)="PE")=TRUE,"PE",IF(AND(IF(G33="",IF(F33="",IF(E33="","",E33),F33),G33)="",IF(J33="",IF(I33="",IF(H33="","",H33),I33),J33)="",IF(M33="",IF(L33="",IF(K33="","",K33),L33),M33)="",IF(P33="",IF(O33="",IF(N33="","",N33),O33),P33)="")=TRUE,"","P")))</f>
        <v/>
      </c>
      <c r="R33" s="126" t="n"/>
      <c r="S33" s="127" t="n"/>
    </row>
    <row r="34" outlineLevel="1" ht="16.15" customFormat="1" customHeight="1" s="122">
      <c r="A34" s="101">
        <f>IF(AND(C34="",C34=""),"",$D$3&amp;"_"&amp;ROW()-12-COUNTBLANK($C$13:C34))</f>
        <v/>
      </c>
      <c r="B34" s="216" t="inlineStr">
        <is>
          <t>Các đường mở chi tiết văn bản</t>
        </is>
      </c>
      <c r="C34" s="205" t="n"/>
      <c r="D34" s="205" t="n"/>
      <c r="E34" s="205" t="n"/>
      <c r="F34" s="205" t="n"/>
      <c r="G34" s="205" t="n"/>
      <c r="H34" s="205" t="n"/>
      <c r="I34" s="205" t="n"/>
      <c r="J34" s="205" t="n"/>
      <c r="K34" s="205" t="n"/>
      <c r="L34" s="205" t="n"/>
      <c r="M34" s="205" t="n"/>
      <c r="N34" s="205" t="n"/>
      <c r="O34" s="205" t="n"/>
      <c r="P34" s="205" t="n"/>
      <c r="Q34" s="206" t="n"/>
      <c r="R34" s="110" t="n"/>
      <c r="S34" s="111" t="n"/>
    </row>
    <row r="35" outlineLevel="2" customFormat="1" s="92">
      <c r="A35" s="101">
        <f>IF(AND(C35="",C35=""),"",$D$3&amp;"_"&amp;ROW()-12-COUNTBLANK($C$13:C35))</f>
        <v/>
      </c>
      <c r="B35" s="130" t="inlineStr">
        <is>
          <t>Kiểm tra mở chi tiết từ các hộp việc văn bản đến</t>
        </is>
      </c>
      <c r="C35" s="130" t="inlineStr">
        <is>
          <t>Lần lượt mở chi tiết cùng một văn bản từ: Chờ tiếp nhận, Chờ xử lý, Đã xử lý, Nhận để biết, Đề nghị trả lại, Đã trả lại, tab Tất cả</t>
        </is>
      </c>
      <c r="D35" s="130" t="inlineStr">
        <is>
          <t>Ở mọi hộp việc, panel đều có cột Hạn xử lý và giá trị giống nhau.</t>
        </is>
      </c>
      <c r="E35" s="109" t="n"/>
      <c r="F35" s="125" t="n"/>
      <c r="G35" s="125" t="n"/>
      <c r="H35" s="124" t="n"/>
      <c r="I35" s="124" t="n"/>
      <c r="J35" s="124" t="n"/>
      <c r="K35" s="124" t="n"/>
      <c r="L35" s="124" t="n"/>
      <c r="M35" s="124" t="n"/>
      <c r="N35" s="124" t="n"/>
      <c r="O35" s="124" t="n"/>
      <c r="P35" s="124" t="n"/>
      <c r="Q35" s="108">
        <f>IF(OR(IF(G35="",IF(F35="",IF(E35="","",E35),F35),G35)="F",IF(J35="",IF(I35="",IF(H35="","",H35),I35),J35)="F",IF(M35="",IF(L35="",IF(K35="","",K35),L35),M35)="F",IF(P35="",IF(O35="",IF(N35="","",N35),O35),P35)="F")=TRUE,"F",IF(OR(IF(G35="",IF(F35="",IF(E35="","",E35),F35),G35)="PE",IF(J35="",IF(I35="",IF(H35="","",H35),I35),J35)="PE",IF(M35="",IF(L35="",IF(K35="","",K35),L35),M35)="PE",IF(P35="",IF(O35="",IF(N35="","",N35),O35),P35)="PE")=TRUE,"PE",IF(AND(IF(G35="",IF(F35="",IF(E35="","",E35),F35),G35)="",IF(J35="",IF(I35="",IF(H35="","",H35),I35),J35)="",IF(M35="",IF(L35="",IF(K35="","",K35),L35),M35)="",IF(P35="",IF(O35="",IF(N35="","",N35),O35),P35)="")=TRUE,"","P")))</f>
        <v/>
      </c>
      <c r="R35" s="126" t="n"/>
      <c r="S35" s="127" t="n"/>
    </row>
    <row r="36" outlineLevel="1" customFormat="1" s="122">
      <c r="A36" s="101">
        <f>IF(AND(C36="",C36=""),"",$D$3&amp;"_"&amp;ROW()-12-COUNTBLANK($C$13:C36))</f>
        <v/>
      </c>
      <c r="B36" s="130" t="inlineStr">
        <is>
          <t>Kiểm tra mở chi tiết từ màn Tra cứu văn bản</t>
        </is>
      </c>
      <c r="C36" s="130" t="inlineStr">
        <is>
          <t>1. Vào Tra cứu văn bản
2. Tìm và mở chi tiết VB3
3. Mở panel người cùng nhận</t>
        </is>
      </c>
      <c r="D36" s="130" t="inlineStr">
        <is>
          <t>Panel có cột Hạn xử lý, giá trị đúng, không lỗi màn hình.</t>
        </is>
      </c>
      <c r="E36" s="109" t="n"/>
      <c r="F36" s="125" t="n"/>
      <c r="G36" s="125" t="n"/>
      <c r="H36" s="124" t="n"/>
      <c r="I36" s="124" t="n"/>
      <c r="J36" s="124" t="n"/>
      <c r="K36" s="124" t="n"/>
      <c r="L36" s="124" t="n"/>
      <c r="M36" s="124" t="n"/>
      <c r="N36" s="124" t="n"/>
      <c r="O36" s="124" t="n"/>
      <c r="P36" s="124" t="n"/>
      <c r="Q36" s="108">
        <f>IF(OR(IF(G36="",IF(F36="",IF(E36="","",E36),F36),G36)="F",IF(J36="",IF(I36="",IF(H36="","",H36),I36),J36)="F",IF(M36="",IF(L36="",IF(K36="","",K36),L36),M36)="F",IF(P36="",IF(O36="",IF(N36="","",N36),O36),P36)="F")=TRUE,"F",IF(OR(IF(G36="",IF(F36="",IF(E36="","",E36),F36),G36)="PE",IF(J36="",IF(I36="",IF(H36="","",H36),I36),J36)="PE",IF(M36="",IF(L36="",IF(K36="","",K36),L36),M36)="PE",IF(P36="",IF(O36="",IF(N36="","",N36),O36),P36)="PE")=TRUE,"PE",IF(AND(IF(G36="",IF(F36="",IF(E36="","",E36),F36),G36)="",IF(J36="",IF(I36="",IF(H36="","",H36),I36),J36)="",IF(M36="",IF(L36="",IF(K36="","",K36),L36),M36)="",IF(P36="",IF(O36="",IF(N36="","",N36),O36),P36)="")=TRUE,"","P")))</f>
        <v/>
      </c>
      <c r="R36" s="126" t="n"/>
      <c r="S36" s="127" t="n"/>
    </row>
    <row r="37" outlineLevel="2" customFormat="1" s="92">
      <c r="A37" s="101">
        <f>IF(AND(C37="",C37=""),"",$D$3&amp;"_"&amp;ROW()-12-COUNTBLANK($C$13:C37))</f>
        <v/>
      </c>
      <c r="B37" s="130" t="inlineStr">
        <is>
          <t>Kiểm tra mở chi tiết từ màn Theo dõi văn bản đến đơn vị</t>
        </is>
      </c>
      <c r="C37" s="130" t="inlineStr">
        <is>
          <t>1. Vào Theo dõi văn bản đến đơn vị bằng tài khoản lãnh đạo hoặc văn thư
2. Mở chi tiết một văn bản của đơn vị</t>
        </is>
      </c>
      <c r="D37" s="130" t="inlineStr">
        <is>
          <t>Panel có cột Hạn xử lý, giá trị đúng, không lỗi màn hình.</t>
        </is>
      </c>
      <c r="E37" s="109" t="n"/>
      <c r="F37" s="125" t="n"/>
      <c r="G37" s="125" t="n"/>
      <c r="H37" s="124" t="n"/>
      <c r="I37" s="124" t="n"/>
      <c r="J37" s="124" t="n"/>
      <c r="K37" s="124" t="n"/>
      <c r="L37" s="124" t="n"/>
      <c r="M37" s="124" t="n"/>
      <c r="N37" s="124" t="n"/>
      <c r="O37" s="124" t="n"/>
      <c r="P37" s="124" t="n"/>
      <c r="Q37" s="108">
        <f>IF(OR(IF(G37="",IF(F37="",IF(E37="","",E37),F37),G37)="F",IF(J37="",IF(I37="",IF(H37="","",H37),I37),J37)="F",IF(M37="",IF(L37="",IF(K37="","",K37),L37),M37)="F",IF(P37="",IF(O37="",IF(N37="","",N37),O37),P37)="F")=TRUE,"F",IF(OR(IF(G37="",IF(F37="",IF(E37="","",E37),F37),G37)="PE",IF(J37="",IF(I37="",IF(H37="","",H37),I37),J37)="PE",IF(M37="",IF(L37="",IF(K37="","",K37),L37),M37)="PE",IF(P37="",IF(O37="",IF(N37="","",N37),O37),P37)="PE")=TRUE,"PE",IF(AND(IF(G37="",IF(F37="",IF(E37="","",E37),F37),G37)="",IF(J37="",IF(I37="",IF(H37="","",H37),I37),J37)="",IF(M37="",IF(L37="",IF(K37="","",K37),L37),M37)="",IF(P37="",IF(O37="",IF(N37="","",N37),O37),P37)="")=TRUE,"","P")))</f>
        <v/>
      </c>
      <c r="R37" s="126" t="n"/>
      <c r="S37" s="127" t="n"/>
    </row>
    <row r="38" customFormat="1" s="96">
      <c r="A38" s="101">
        <f>IF(AND(C38="",C38=""),"",$D$3&amp;"_"&amp;ROW()-12-COUNTBLANK($C$13:C38))</f>
        <v/>
      </c>
      <c r="B38" s="130" t="inlineStr">
        <is>
          <t>Kiểm tra mở chi tiết từ hồ sơ công việc và từ thông báo</t>
        </is>
      </c>
      <c r="C38" s="130" t="inlineStr">
        <is>
          <t>1. Mở văn bản nằm trong một hồ sơ công việc
2. Mở văn bản từ chuông thông báo</t>
        </is>
      </c>
      <c r="D38" s="130" t="inlineStr">
        <is>
          <t>Cả hai đường vào đều hiển thị panel có cột Hạn xử lý, không lỗi.</t>
        </is>
      </c>
      <c r="E38" s="109" t="n"/>
      <c r="F38" s="125" t="n"/>
      <c r="G38" s="125" t="n"/>
      <c r="H38" s="124" t="n"/>
      <c r="I38" s="124" t="n"/>
      <c r="J38" s="124" t="n"/>
      <c r="K38" s="124" t="n"/>
      <c r="L38" s="124" t="n"/>
      <c r="M38" s="124" t="n"/>
      <c r="N38" s="124" t="n"/>
      <c r="O38" s="124" t="n"/>
      <c r="P38" s="124" t="n"/>
      <c r="Q38" s="108">
        <f>IF(OR(IF(G38="",IF(F38="",IF(E38="","",E38),F38),G38)="F",IF(J38="",IF(I38="",IF(H38="","",H38),I38),J38)="F",IF(M38="",IF(L38="",IF(K38="","",K38),L38),M38)="F",IF(P38="",IF(O38="",IF(N38="","",N38),O38),P38)="F")=TRUE,"F",IF(OR(IF(G38="",IF(F38="",IF(E38="","",E38),F38),G38)="PE",IF(J38="",IF(I38="",IF(H38="","",H38),I38),J38)="PE",IF(M38="",IF(L38="",IF(K38="","",K38),L38),M38)="PE",IF(P38="",IF(O38="",IF(N38="","",N38),O38),P38)="PE")=TRUE,"PE",IF(AND(IF(G38="",IF(F38="",IF(E38="","",E38),F38),G38)="",IF(J38="",IF(I38="",IF(H38="","",H38),I38),J38)="",IF(M38="",IF(L38="",IF(K38="","",K38),L38),M38)="",IF(P38="",IF(O38="",IF(N38="","",N38),O38),P38)="")=TRUE,"","P")))</f>
        <v/>
      </c>
      <c r="R38" s="126" t="n"/>
      <c r="S38" s="127" t="n"/>
    </row>
    <row r="39" ht="16.15" customFormat="1" customHeight="1" s="96">
      <c r="A39" s="101">
        <f>IF(AND(C39="",C39=""),"",$D$3&amp;"_"&amp;ROW()-12-COUNTBLANK($C$13:C39))</f>
        <v/>
      </c>
      <c r="B39" s="216" t="inlineStr">
        <is>
          <t>Theo vai trò người xem</t>
        </is>
      </c>
      <c r="C39" s="205" t="n"/>
      <c r="D39" s="205" t="n"/>
      <c r="E39" s="205" t="n"/>
      <c r="F39" s="205" t="n"/>
      <c r="G39" s="205" t="n"/>
      <c r="H39" s="205" t="n"/>
      <c r="I39" s="205" t="n"/>
      <c r="J39" s="205" t="n"/>
      <c r="K39" s="205" t="n"/>
      <c r="L39" s="205" t="n"/>
      <c r="M39" s="205" t="n"/>
      <c r="N39" s="205" t="n"/>
      <c r="O39" s="205" t="n"/>
      <c r="P39" s="205" t="n"/>
      <c r="Q39" s="206" t="n"/>
      <c r="R39" s="110" t="n"/>
      <c r="S39" s="111" t="n"/>
    </row>
    <row r="40">
      <c r="A40" s="101">
        <f>IF(AND(C40="",C40=""),"",$D$3&amp;"_"&amp;ROW()-12-COUNTBLANK($C$13:C40))</f>
        <v/>
      </c>
      <c r="B40" s="130" t="inlineStr">
        <is>
          <t>Kiểm tra hiển thị với vai trò Văn thư</t>
        </is>
      </c>
      <c r="C40" s="130" t="inlineStr">
        <is>
          <t>1. Đăng nhập tài khoản văn thư
2. Mở chi tiết văn bản của đơn vị và văn bản cá nhân
3. Mở panel người cùng nhận</t>
        </is>
      </c>
      <c r="D40" s="130" t="inlineStr">
        <is>
          <t>Văn thư nhìn thấy cột Hạn xử lý ở cả hai loại văn bản, giá trị đúng theo từng dòng.</t>
        </is>
      </c>
      <c r="E40" s="109" t="n"/>
      <c r="F40" s="125" t="n"/>
      <c r="G40" s="125" t="n"/>
      <c r="H40" s="124" t="n"/>
      <c r="I40" s="124" t="n"/>
      <c r="J40" s="124" t="n"/>
      <c r="K40" s="124" t="n"/>
      <c r="L40" s="124" t="n"/>
      <c r="M40" s="124" t="n"/>
      <c r="N40" s="124" t="n"/>
      <c r="O40" s="124" t="n"/>
      <c r="P40" s="124" t="n"/>
      <c r="Q40" s="108">
        <f>IF(OR(IF(G40="",IF(F40="",IF(E40="","",E40),F40),G40)="F",IF(J40="",IF(I40="",IF(H40="","",H40),I40),J40)="F",IF(M40="",IF(L40="",IF(K40="","",K40),L40),M40)="F",IF(P40="",IF(O40="",IF(N40="","",N40),O40),P40)="F")=TRUE,"F",IF(OR(IF(G40="",IF(F40="",IF(E40="","",E40),F40),G40)="PE",IF(J40="",IF(I40="",IF(H40="","",H40),I40),J40)="PE",IF(M40="",IF(L40="",IF(K40="","",K40),L40),M40)="PE",IF(P40="",IF(O40="",IF(N40="","",N40),O40),P40)="PE")=TRUE,"PE",IF(AND(IF(G40="",IF(F40="",IF(E40="","",E40),F40),G40)="",IF(J40="",IF(I40="",IF(H40="","",H40),I40),J40)="",IF(M40="",IF(L40="",IF(K40="","",K40),L40),M40)="",IF(P40="",IF(O40="",IF(N40="","",N40),O40),P40)="")=TRUE,"","P")))</f>
        <v/>
      </c>
      <c r="R40" s="126" t="n"/>
      <c r="S40" s="127" t="n"/>
    </row>
    <row r="41">
      <c r="A41" s="101">
        <f>IF(AND(C41="",C41=""),"",$D$3&amp;"_"&amp;ROW()-12-COUNTBLANK($C$13:C41))</f>
        <v/>
      </c>
      <c r="B41" s="130" t="inlineStr">
        <is>
          <t>Kiểm tra hiển thị với vai trò Lãnh đạo</t>
        </is>
      </c>
      <c r="C41" s="130" t="inlineStr">
        <is>
          <t>1. Đăng nhập tài khoản lãnh đạo
2. Mở chi tiết VB1
3. Mở panel người cùng nhận</t>
        </is>
      </c>
      <c r="D41" s="130" t="inlineStr">
        <is>
          <t>Lãnh đạo nhìn thấy cột Hạn xử lý với giá trị giống hệt khi xem bằng tài khoản khác.</t>
        </is>
      </c>
      <c r="E41" s="109" t="n"/>
      <c r="F41" s="125" t="n"/>
      <c r="G41" s="125" t="n"/>
      <c r="H41" s="124" t="n"/>
      <c r="I41" s="124" t="n"/>
      <c r="J41" s="124" t="n"/>
      <c r="K41" s="124" t="n"/>
      <c r="L41" s="124" t="n"/>
      <c r="M41" s="124" t="n"/>
      <c r="N41" s="124" t="n"/>
      <c r="O41" s="124" t="n"/>
      <c r="P41" s="124" t="n"/>
      <c r="Q41" s="108">
        <f>IF(OR(IF(G41="",IF(F41="",IF(E41="","",E41),F41),G41)="F",IF(J41="",IF(I41="",IF(H41="","",H41),I41),J41)="F",IF(M41="",IF(L41="",IF(K41="","",K41),L41),M41)="F",IF(P41="",IF(O41="",IF(N41="","",N41),O41),P41)="F")=TRUE,"F",IF(OR(IF(G41="",IF(F41="",IF(E41="","",E41),F41),G41)="PE",IF(J41="",IF(I41="",IF(H41="","",H41),I41),J41)="PE",IF(M41="",IF(L41="",IF(K41="","",K41),L41),M41)="PE",IF(P41="",IF(O41="",IF(N41="","",N41),O41),P41)="PE")=TRUE,"PE",IF(AND(IF(G41="",IF(F41="",IF(E41="","",E41),F41),G41)="",IF(J41="",IF(I41="",IF(H41="","",H41),I41),J41)="",IF(M41="",IF(L41="",IF(K41="","",K41),L41),M41)="",IF(P41="",IF(O41="",IF(N41="","",N41),O41),P41)="")=TRUE,"","P")))</f>
        <v/>
      </c>
      <c r="R41" s="126" t="n"/>
      <c r="S41" s="127" t="n"/>
    </row>
    <row r="42">
      <c r="A42" s="101">
        <f>IF(AND(C42="",C42=""),"",$D$3&amp;"_"&amp;ROW()-12-COUNTBLANK($C$13:C42))</f>
        <v/>
      </c>
      <c r="B42" s="130" t="inlineStr">
        <is>
          <t>Kiểm tra hiển thị với vai trò Chuyên viên</t>
        </is>
      </c>
      <c r="C42" s="130" t="inlineStr">
        <is>
          <t>1. Đăng nhập tài khoản chuyên viên là người chủ trì, sau đó là phối hợp, sau đó là nhận để biết
2. Mở chi tiết VB1</t>
        </is>
      </c>
      <c r="D42" s="130" t="inlineStr">
        <is>
          <t>Cả ba trường hợp đều nhìn thấy cột Hạn xử lý.
Yêu cầu không thêm điều kiện phân quyền cho cột mới.
Tài khoản không liên quan tới văn bản vẫn không mở được văn bản, quyền xem không bị mở rộng.</t>
        </is>
      </c>
      <c r="E42" s="109" t="n"/>
      <c r="F42" s="125" t="n"/>
      <c r="G42" s="125" t="n"/>
      <c r="H42" s="124" t="n"/>
      <c r="I42" s="124" t="n"/>
      <c r="J42" s="124" t="n"/>
      <c r="K42" s="124" t="n"/>
      <c r="L42" s="124" t="n"/>
      <c r="M42" s="124" t="n"/>
      <c r="N42" s="124" t="n"/>
      <c r="O42" s="124" t="n"/>
      <c r="P42" s="124" t="n"/>
      <c r="Q42" s="108">
        <f>IF(OR(IF(G42="",IF(F42="",IF(E42="","",E42),F42),G42)="F",IF(J42="",IF(I42="",IF(H42="","",H42),I42),J42)="F",IF(M42="",IF(L42="",IF(K42="","",K42),L42),M42)="F",IF(P42="",IF(O42="",IF(N42="","",N42),O42),P42)="F")=TRUE,"F",IF(OR(IF(G42="",IF(F42="",IF(E42="","",E42),F42),G42)="PE",IF(J42="",IF(I42="",IF(H42="","",H42),I42),J42)="PE",IF(M42="",IF(L42="",IF(K42="","",K42),L42),M42)="PE",IF(P42="",IF(O42="",IF(N42="","",N42),O42),P42)="PE")=TRUE,"PE",IF(AND(IF(G42="",IF(F42="",IF(E42="","",E42),F42),G42)="",IF(J42="",IF(I42="",IF(H42="","",H42),I42),J42)="",IF(M42="",IF(L42="",IF(K42="","",K42),L42),M42)="",IF(P42="",IF(O42="",IF(N42="","",N42),O42),P42)="")=TRUE,"","P")))</f>
        <v/>
      </c>
      <c r="R42" s="126" t="n"/>
      <c r="S42" s="127" t="n"/>
    </row>
    <row r="43">
      <c r="A43" s="101">
        <f>IF(AND(C43="",C43=""),"",$D$3&amp;"_"&amp;ROW()-12-COUNTBLANK($C$13:C43))</f>
        <v/>
      </c>
      <c r="B43" s="130" t="inlineStr">
        <is>
          <t>Kiểm tra với văn bản mật</t>
        </is>
      </c>
      <c r="C43" s="130" t="inlineStr">
        <is>
          <t>1. Đăng nhập tài khoản có quyền xem văn bản mật
2. Mở chi tiết VB6
3. Mở panel người cùng nhận, thử mã hóa và giải mã nội dung ý kiến</t>
        </is>
      </c>
      <c r="D43" s="130" t="inlineStr">
        <is>
          <t>Cột Hạn xử lý hiển thị bình thường, không bị che, không yêu cầu thao tác thêm.
Chức năng mã hóa và giải mã nội dung ý kiến vẫn hoạt động như trước.</t>
        </is>
      </c>
      <c r="E43" s="109" t="n"/>
      <c r="F43" s="125" t="n"/>
      <c r="G43" s="125" t="n"/>
      <c r="H43" s="124" t="n"/>
      <c r="I43" s="124" t="n"/>
      <c r="J43" s="124" t="n"/>
      <c r="K43" s="124" t="n"/>
      <c r="L43" s="124" t="n"/>
      <c r="M43" s="124" t="n"/>
      <c r="N43" s="124" t="n"/>
      <c r="O43" s="124" t="n"/>
      <c r="P43" s="124" t="n"/>
      <c r="Q43" s="108">
        <f>IF(OR(IF(G43="",IF(F43="",IF(E43="","",E43),F43),G43)="F",IF(J43="",IF(I43="",IF(H43="","",H43),I43),J43)="F",IF(M43="",IF(L43="",IF(K43="","",K43),L43),M43)="F",IF(P43="",IF(O43="",IF(N43="","",N43),O43),P43)="F")=TRUE,"F",IF(OR(IF(G43="",IF(F43="",IF(E43="","",E43),F43),G43)="PE",IF(J43="",IF(I43="",IF(H43="","",H43),I43),J43)="PE",IF(M43="",IF(L43="",IF(K43="","",K43),L43),M43)="PE",IF(P43="",IF(O43="",IF(N43="","",N43),O43),P43)="PE")=TRUE,"PE",IF(AND(IF(G43="",IF(F43="",IF(E43="","",E43),F43),G43)="",IF(J43="",IF(I43="",IF(H43="","",H43),I43),J43)="",IF(M43="",IF(L43="",IF(K43="","",K43),L43),M43)="",IF(P43="",IF(O43="",IF(N43="","",N43),O43),P43)="")=TRUE,"","P")))</f>
        <v/>
      </c>
      <c r="R43" s="126" t="n"/>
      <c r="S43" s="127" t="n"/>
    </row>
    <row r="44" ht="16.15" customHeight="1">
      <c r="A44" s="101">
        <f>IF(AND(C44="",C44=""),"",$D$3&amp;"_"&amp;ROW()-12-COUNTBLANK($C$13:C44))</f>
        <v/>
      </c>
      <c r="B44" s="14" t="inlineStr">
        <is>
          <t>An toàn thông tin (Các trường hợp kiểm thử đảm bảo an toàn thông tin theo hướng dẫn kiểm thử an toàn thông tin)</t>
        </is>
      </c>
      <c r="C44" s="205" t="n"/>
      <c r="D44" s="205" t="n"/>
      <c r="E44" s="205" t="n"/>
      <c r="F44" s="205" t="n"/>
      <c r="G44" s="205" t="n"/>
      <c r="H44" s="205" t="n"/>
      <c r="I44" s="205" t="n"/>
      <c r="J44" s="205" t="n"/>
      <c r="K44" s="205" t="n"/>
      <c r="L44" s="205" t="n"/>
      <c r="M44" s="205" t="n"/>
      <c r="N44" s="205" t="n"/>
      <c r="O44" s="205" t="n"/>
      <c r="P44" s="205" t="n"/>
      <c r="Q44" s="206" t="n"/>
      <c r="R44" s="114" t="n"/>
      <c r="S44" s="115" t="n"/>
    </row>
    <row r="45">
      <c r="A45" s="101">
        <f>IF(AND(C45="",C45=""),"",$D$3&amp;"_"&amp;ROW()-12-COUNTBLANK($C$13:C45))</f>
        <v/>
      </c>
      <c r="B45" s="130" t="inlineStr">
        <is>
          <t>N/A - Yêu cầu chỉ bổ sung một cột hiển thị chỉ đọc, không thêm ô nhập liệu, không thêm tham số đầu vào, không thay đổi phân quyền.</t>
        </is>
      </c>
      <c r="C45" s="205" t="n"/>
      <c r="D45" s="205" t="n"/>
      <c r="E45" s="205" t="n"/>
      <c r="F45" s="205" t="n"/>
      <c r="G45" s="205" t="n"/>
      <c r="H45" s="205" t="n"/>
      <c r="I45" s="205" t="n"/>
      <c r="J45" s="205" t="n"/>
      <c r="K45" s="205" t="n"/>
      <c r="L45" s="205" t="n"/>
      <c r="M45" s="205" t="n"/>
      <c r="N45" s="205" t="n"/>
      <c r="O45" s="205" t="n"/>
      <c r="P45" s="205" t="n"/>
      <c r="Q45" s="206" t="n"/>
      <c r="R45" s="126" t="n"/>
      <c r="S45" s="127" t="n"/>
    </row>
    <row r="46" ht="16.15" customHeight="1">
      <c r="A46" s="101">
        <f>IF(AND(C46="",C46=""),"",$D$3&amp;"_"&amp;ROW()-12-COUNTBLANK($C$13:C46))</f>
        <v/>
      </c>
      <c r="B46" s="14" t="inlineStr">
        <is>
          <t>Kiểm tra ảnh hưởng (Các trường hợp kiểm thử ảnh hưởng từ chức năng)</t>
        </is>
      </c>
      <c r="C46" s="205" t="n"/>
      <c r="D46" s="205" t="n"/>
      <c r="E46" s="205" t="n"/>
      <c r="F46" s="205" t="n"/>
      <c r="G46" s="205" t="n"/>
      <c r="H46" s="205" t="n"/>
      <c r="I46" s="205" t="n"/>
      <c r="J46" s="205" t="n"/>
      <c r="K46" s="205" t="n"/>
      <c r="L46" s="205" t="n"/>
      <c r="M46" s="205" t="n"/>
      <c r="N46" s="205" t="n"/>
      <c r="O46" s="205" t="n"/>
      <c r="P46" s="205" t="n"/>
      <c r="Q46" s="206" t="n"/>
      <c r="R46" s="114" t="n"/>
      <c r="S46" s="115" t="n"/>
    </row>
    <row r="47" customFormat="1" s="96">
      <c r="A47" s="101">
        <f>IF(AND(C47="",C47=""),"",$D$3&amp;"_"&amp;ROW()-12-COUNTBLANK($C$13:C47))</f>
        <v/>
      </c>
      <c r="B47" s="130" t="inlineStr">
        <is>
          <t>Kiểm tra panel Danh sách đã gửi đi không bị ảnh hưởng</t>
        </is>
      </c>
      <c r="C47" s="130" t="inlineStr">
        <is>
          <t>1. Mở chi tiết VB3
2. Mở panel "Danh sách đã gửi đi"
3. So sánh với trước khi sửa</t>
        </is>
      </c>
      <c r="D47" s="130" t="inlineStr">
        <is>
          <t>Panel giữ nguyên số cột, tên cột, thứ tự cột và dữ liệu.
Nút thu hồi hoạt động như trước.
Không xuất hiện cột Hạn xử lý ở panel này.</t>
        </is>
      </c>
      <c r="E47" s="109" t="n"/>
      <c r="F47" s="125" t="n"/>
      <c r="G47" s="125" t="n"/>
      <c r="H47" s="124" t="n"/>
      <c r="I47" s="124" t="n"/>
      <c r="J47" s="124" t="n"/>
      <c r="K47" s="124" t="n"/>
      <c r="L47" s="124" t="n"/>
      <c r="M47" s="124" t="n"/>
      <c r="N47" s="124" t="n"/>
      <c r="O47" s="124" t="n"/>
      <c r="P47" s="124" t="n"/>
      <c r="Q47" s="108">
        <f>IF(OR(IF(G47="",IF(F47="",IF(E47="","",E47),F47),G47)="F",IF(J47="",IF(I47="",IF(H47="","",H47),I47),J47)="F",IF(M47="",IF(L47="",IF(K47="","",K47),L47),M47)="F",IF(P47="",IF(O47="",IF(N47="","",N47),O47),P47)="F")=TRUE,"F",IF(OR(IF(G47="",IF(F47="",IF(E47="","",E47),F47),G47)="PE",IF(J47="",IF(I47="",IF(H47="","",H47),I47),J47)="PE",IF(M47="",IF(L47="",IF(K47="","",K47),L47),M47)="PE",IF(P47="",IF(O47="",IF(N47="","",N47),O47),P47)="PE")=TRUE,"PE",IF(AND(IF(G47="",IF(F47="",IF(E47="","",E47),F47),G47)="",IF(J47="",IF(I47="",IF(H47="","",H47),I47),J47)="",IF(M47="",IF(L47="",IF(K47="","",K47),L47),M47)="",IF(P47="",IF(O47="",IF(N47="","",N47),O47),P47)="")=TRUE,"","P")))</f>
        <v/>
      </c>
      <c r="R47" s="126" t="n"/>
      <c r="S47" s="127" t="n"/>
    </row>
    <row r="48" customFormat="1" s="96">
      <c r="A48" s="101">
        <f>IF(AND(C48="",C48=""),"",$D$3&amp;"_"&amp;ROW()-12-COUNTBLANK($C$13:C48))</f>
        <v/>
      </c>
      <c r="B48" s="130" t="inlineStr">
        <is>
          <t>Kiểm tra chức năng Chuyển văn bản vẫn lưu hạn đúng</t>
        </is>
      </c>
      <c r="C48" s="130" t="inlineStr">
        <is>
          <t>1. Chuyển cho cá nhân có nhập hạn
2. Chuyển cho cá nhân bỏ trống hạn
3. Chuyển cho đơn vị có nhập hạn
4. Chuyển cho nhóm
5. Chuyển nhiều văn bản một lúc</t>
        </is>
      </c>
      <c r="D48" s="130" t="inlineStr">
        <is>
          <t>Tất cả các trường hợp chuyển thành công như trước.
Hạn được lưu đúng vào từng dòng nhận và hiển thị đúng ở cột mới.</t>
        </is>
      </c>
      <c r="E48" s="109" t="n"/>
      <c r="F48" s="125" t="n"/>
      <c r="G48" s="125" t="n"/>
      <c r="H48" s="124" t="n"/>
      <c r="I48" s="124" t="n"/>
      <c r="J48" s="124" t="n"/>
      <c r="K48" s="124" t="n"/>
      <c r="L48" s="124" t="n"/>
      <c r="M48" s="124" t="n"/>
      <c r="N48" s="124" t="n"/>
      <c r="O48" s="124" t="n"/>
      <c r="P48" s="124" t="n"/>
      <c r="Q48" s="108">
        <f>IF(OR(IF(G48="",IF(F48="",IF(E48="","",E48),F48),G48)="F",IF(J48="",IF(I48="",IF(H48="","",H48),I48),J48)="F",IF(M48="",IF(L48="",IF(K48="","",K48),L48),M48)="F",IF(P48="",IF(O48="",IF(N48="","",N48),O48),P48)="F")=TRUE,"F",IF(OR(IF(G48="",IF(F48="",IF(E48="","",E48),F48),G48)="PE",IF(J48="",IF(I48="",IF(H48="","",H48),I48),J48)="PE",IF(M48="",IF(L48="",IF(K48="","",K48),L48),M48)="PE",IF(P48="",IF(O48="",IF(N48="","",N48),O48),P48)="PE")=TRUE,"PE",IF(AND(IF(G48="",IF(F48="",IF(E48="","",E48),F48),G48)="",IF(J48="",IF(I48="",IF(H48="","",H48),I48),J48)="",IF(M48="",IF(L48="",IF(K48="","",K48),L48),M48)="",IF(P48="",IF(O48="",IF(N48="","",N48),O48),P48)="")=TRUE,"","P")))</f>
        <v/>
      </c>
      <c r="R48" s="126" t="n"/>
      <c r="S48" s="127" t="n"/>
    </row>
    <row r="49">
      <c r="A49" s="101">
        <f>IF(AND(C49="",C49=""),"",$D$3&amp;"_"&amp;ROW()-12-COUNTBLANK($C$13:C49))</f>
        <v/>
      </c>
      <c r="B49" s="130" t="inlineStr">
        <is>
          <t>Kiểm tra số đếm hộp việc và thống kê không đổi</t>
        </is>
      </c>
      <c r="C49" s="130" t="inlineStr">
        <is>
          <t>1. Ghi lại số của các hộp Chờ xử lý, Sắp đến hạn, Quá hạn và các ô trang chủ trước khi sửa
2. Sau khi sửa, mở lại và so sánh
3. Mở thống kê Theo dõi văn bản đến đơn vị</t>
        </is>
      </c>
      <c r="D49" s="130" t="inlineStr">
        <is>
          <t>Mọi số đếm và số liệu thống kê giữ nguyên.
Cách tính sắp đến hạn và quá hạn không đổi.</t>
        </is>
      </c>
      <c r="E49" s="109" t="n"/>
      <c r="F49" s="125" t="n"/>
      <c r="G49" s="125" t="n"/>
      <c r="H49" s="124" t="n"/>
      <c r="I49" s="124" t="n"/>
      <c r="J49" s="124" t="n"/>
      <c r="K49" s="124" t="n"/>
      <c r="L49" s="124" t="n"/>
      <c r="M49" s="124" t="n"/>
      <c r="N49" s="124" t="n"/>
      <c r="O49" s="124" t="n"/>
      <c r="P49" s="124" t="n"/>
      <c r="Q49" s="108">
        <f>IF(OR(IF(G49="",IF(F49="",IF(E49="","",E49),F49),G49)="F",IF(J49="",IF(I49="",IF(H49="","",H49),I49),J49)="F",IF(M49="",IF(L49="",IF(K49="","",K49),L49),M49)="F",IF(P49="",IF(O49="",IF(N49="","",N49),O49),P49)="F")=TRUE,"F",IF(OR(IF(G49="",IF(F49="",IF(E49="","",E49),F49),G49)="PE",IF(J49="",IF(I49="",IF(H49="","",H49),I49),J49)="PE",IF(M49="",IF(L49="",IF(K49="","",K49),L49),M49)="PE",IF(P49="",IF(O49="",IF(N49="","",N49),O49),P49)="PE")=TRUE,"PE",IF(AND(IF(G49="",IF(F49="",IF(E49="","",E49),F49),G49)="",IF(J49="",IF(I49="",IF(H49="","",H49),I49),J49)="",IF(M49="",IF(L49="",IF(K49="","",K49),L49),M49)="",IF(P49="",IF(O49="",IF(N49="","",N49),O49),P49)="")=TRUE,"","P")))</f>
        <v/>
      </c>
      <c r="R49" s="126" t="n"/>
      <c r="S49" s="127" t="inlineStr">
        <is>
          <t>Ghi lại số đếm trước khi triển khai để so sánh.</t>
        </is>
      </c>
    </row>
    <row r="50">
      <c r="A50" s="101">
        <f>IF(AND(C50="",C50=""),"",$D$3&amp;"_"&amp;ROW()-12-COUNTBLANK($C$13:C50))</f>
        <v/>
      </c>
      <c r="B50" s="130" t="inlineStr">
        <is>
          <t>Kiểm tra màn Thêm file đính kèm</t>
        </is>
      </c>
      <c r="C50" s="130" t="inlineStr">
        <is>
          <t>1. Mở một văn bản
2. Mở màn Thêm file đính kèm
3. Thực hiện thêm một tệp</t>
        </is>
      </c>
      <c r="D50" s="130" t="inlineStr">
        <is>
          <t>Màn hình mở bình thường, không lỗi, không thiếu dữ liệu danh sách.
Thêm tệp thành công như trước.</t>
        </is>
      </c>
      <c r="E50" s="109" t="n"/>
      <c r="F50" s="125" t="n"/>
      <c r="G50" s="125" t="n"/>
      <c r="H50" s="124" t="n"/>
      <c r="I50" s="124" t="n"/>
      <c r="J50" s="124" t="n"/>
      <c r="K50" s="124" t="n"/>
      <c r="L50" s="124" t="n"/>
      <c r="M50" s="124" t="n"/>
      <c r="N50" s="124" t="n"/>
      <c r="O50" s="124" t="n"/>
      <c r="P50" s="124" t="n"/>
      <c r="Q50" s="108">
        <f>IF(OR(IF(G50="",IF(F50="",IF(E50="","",E50),F50),G50)="F",IF(J50="",IF(I50="",IF(H50="","",H50),I50),J50)="F",IF(M50="",IF(L50="",IF(K50="","",K50),L50),M50)="F",IF(P50="",IF(O50="",IF(N50="","",N50),O50),P50)="F")=TRUE,"F",IF(OR(IF(G50="",IF(F50="",IF(E50="","",E50),F50),G50)="PE",IF(J50="",IF(I50="",IF(H50="","",H50),I50),J50)="PE",IF(M50="",IF(L50="",IF(K50="","",K50),L50),M50)="PE",IF(P50="",IF(O50="",IF(N50="","",N50),O50),P50)="PE")=TRUE,"PE",IF(AND(IF(G50="",IF(F50="",IF(E50="","",E50),F50),G50)="",IF(J50="",IF(I50="",IF(H50="","",H50),I50),J50)="",IF(M50="",IF(L50="",IF(K50="","",K50),L50),M50)="",IF(P50="",IF(O50="",IF(N50="","",N50),O50),P50)="")=TRUE,"","P")))</f>
        <v/>
      </c>
      <c r="R50" s="126" t="n"/>
      <c r="S50" s="127" t="n"/>
    </row>
    <row r="51">
      <c r="A51" s="101">
        <f>IF(AND(C51="",C51=""),"",$D$3&amp;"_"&amp;ROW()-12-COUNTBLANK($C$13:C51))</f>
        <v/>
      </c>
      <c r="B51" s="130" t="inlineStr">
        <is>
          <t>Kiểm tra các thao tác xử lý văn bản vẫn chạy như cũ</t>
        </is>
      </c>
      <c r="C51" s="130" t="inlineStr">
        <is>
          <t>1. Bấm Hoàn thành một văn bản
2. Bấm Trả lại
3. Lãnh đạo bấm Cho ý kiến
4. Văn thư Tiếp nhận một văn bản có nhập hạn</t>
        </is>
      </c>
      <c r="D51" s="130" t="inlineStr">
        <is>
          <t>Bốn chức năng hoạt động đúng như trước khi sửa, kể cả popup nhập nội dung và các thông báo hiện có.</t>
        </is>
      </c>
      <c r="E51" s="109" t="n"/>
      <c r="F51" s="125" t="n"/>
      <c r="G51" s="125" t="n"/>
      <c r="H51" s="124" t="n"/>
      <c r="I51" s="124" t="n"/>
      <c r="J51" s="124" t="n"/>
      <c r="K51" s="124" t="n"/>
      <c r="L51" s="124" t="n"/>
      <c r="M51" s="124" t="n"/>
      <c r="N51" s="124" t="n"/>
      <c r="O51" s="124" t="n"/>
      <c r="P51" s="124" t="n"/>
      <c r="Q51" s="108">
        <f>IF(OR(IF(G51="",IF(F51="",IF(E51="","",E51),F51),G51)="F",IF(J51="",IF(I51="",IF(H51="","",H51),I51),J51)="F",IF(M51="",IF(L51="",IF(K51="","",K51),L51),M51)="F",IF(P51="",IF(O51="",IF(N51="","",N51),O51),P51)="F")=TRUE,"F",IF(OR(IF(G51="",IF(F51="",IF(E51="","",E51),F51),G51)="PE",IF(J51="",IF(I51="",IF(H51="","",H51),I51),J51)="PE",IF(M51="",IF(L51="",IF(K51="","",K51),L51),M51)="PE",IF(P51="",IF(O51="",IF(N51="","",N51),O51),P51)="PE")=TRUE,"PE",IF(AND(IF(G51="",IF(F51="",IF(E51="","",E51),F51),G51)="",IF(J51="",IF(I51="",IF(H51="","",H51),I51),J51)="",IF(M51="",IF(L51="",IF(K51="","",K51),L51),M51)="",IF(P51="",IF(O51="",IF(N51="","",N51),O51),P51)="")=TRUE,"","P")))</f>
        <v/>
      </c>
      <c r="R51" s="126" t="n"/>
      <c r="S51" s="127" t="n"/>
    </row>
    <row r="52">
      <c r="A52" s="101">
        <f>IF(AND(C52="",C52=""),"",$D$3&amp;"_"&amp;ROW()-12-COUNTBLANK($C$13:C52))</f>
        <v/>
      </c>
      <c r="B52" s="130" t="inlineStr">
        <is>
          <t>Kiểm tra không lệch cột trong bảng</t>
        </is>
      </c>
      <c r="C52" s="130" t="inlineStr">
        <is>
          <t>1. Mở chi tiết VB3 và VB8
2. Đối chiếu từng ô với tiêu đề cột tương ứng</t>
        </is>
      </c>
      <c r="D52" s="130" t="inlineStr">
        <is>
          <t>Tên người nằm ở cột người, tên đơn vị nằm ở cột đơn vị, ý kiến nằm ở cột ý kiến, yêu cầu trả lời nằm ở cột cuối.
Không ô nào bị đẩy sang cột bên cạnh.</t>
        </is>
      </c>
      <c r="E52" s="109" t="n"/>
      <c r="F52" s="125" t="n"/>
      <c r="G52" s="125" t="n"/>
      <c r="H52" s="124" t="n"/>
      <c r="I52" s="124" t="n"/>
      <c r="J52" s="124" t="n"/>
      <c r="K52" s="124" t="n"/>
      <c r="L52" s="124" t="n"/>
      <c r="M52" s="124" t="n"/>
      <c r="N52" s="124" t="n"/>
      <c r="O52" s="124" t="n"/>
      <c r="P52" s="124" t="n"/>
      <c r="Q52" s="108">
        <f>IF(OR(IF(G52="",IF(F52="",IF(E52="","",E52),F52),G52)="F",IF(J52="",IF(I52="",IF(H52="","",H52),I52),J52)="F",IF(M52="",IF(L52="",IF(K52="","",K52),L52),M52)="F",IF(P52="",IF(O52="",IF(N52="","",N52),O52),P52)="F")=TRUE,"F",IF(OR(IF(G52="",IF(F52="",IF(E52="","",E52),F52),G52)="PE",IF(J52="",IF(I52="",IF(H52="","",H52),I52),J52)="PE",IF(M52="",IF(L52="",IF(K52="","",K52),L52),M52)="PE",IF(P52="",IF(O52="",IF(N52="","",N52),O52),P52)="PE")=TRUE,"PE",IF(AND(IF(G52="",IF(F52="",IF(E52="","",E52),F52),G52)="",IF(J52="",IF(I52="",IF(H52="","",H52),I52),J52)="",IF(M52="",IF(L52="",IF(K52="","",K52),L52),M52)="",IF(P52="",IF(O52="",IF(N52="","",N52),O52),P52)="")=TRUE,"","P")))</f>
        <v/>
      </c>
      <c r="R52" s="126" t="n"/>
      <c r="S52" s="127" t="n"/>
    </row>
    <row r="55" customFormat="1" s="96"/>
    <row r="56" customFormat="1" s="96"/>
    <row r="57" customFormat="1" s="96"/>
  </sheetData>
  <mergeCells count="23">
    <mergeCell ref="B34:Q34"/>
    <mergeCell ref="E10:G10"/>
    <mergeCell ref="B13:D13"/>
    <mergeCell ref="C10:C11"/>
    <mergeCell ref="B20:Q20"/>
    <mergeCell ref="Q10:Q11"/>
    <mergeCell ref="S10:S11"/>
    <mergeCell ref="C1:D1"/>
    <mergeCell ref="N10:P10"/>
    <mergeCell ref="B45:Q45"/>
    <mergeCell ref="B10:B11"/>
    <mergeCell ref="B46:Q46"/>
    <mergeCell ref="K10:M10"/>
    <mergeCell ref="B31:Q31"/>
    <mergeCell ref="B21:Q21"/>
    <mergeCell ref="A10:A11"/>
    <mergeCell ref="B39:Q39"/>
    <mergeCell ref="H10:J10"/>
    <mergeCell ref="D10:D11"/>
    <mergeCell ref="B14:Q14"/>
    <mergeCell ref="B12:G12"/>
    <mergeCell ref="B44:Q44"/>
    <mergeCell ref="R10:R11"/>
  </mergeCells>
  <conditionalFormatting sqref="C15:D15 C19:D21 C23:D23 D25 F15:P15 F19:P26">
    <cfRule type="cellIs" priority="97" operator="equal" dxfId="2">
      <formula>"P"</formula>
    </cfRule>
    <cfRule type="cellIs" priority="98" operator="equal" dxfId="1" stopIfTrue="1">
      <formula>"F"</formula>
    </cfRule>
    <cfRule type="cellIs" priority="99" operator="equal" dxfId="0" stopIfTrue="1">
      <formula>"PE"</formula>
    </cfRule>
  </conditionalFormatting>
  <conditionalFormatting sqref="C14:D14">
    <cfRule type="cellIs" priority="148" operator="equal" dxfId="2">
      <formula>"P"</formula>
    </cfRule>
    <cfRule type="cellIs" priority="149" operator="equal" dxfId="1" stopIfTrue="1">
      <formula>"F"</formula>
    </cfRule>
    <cfRule type="cellIs" priority="150" operator="equal" dxfId="0" stopIfTrue="1">
      <formula>"PE"</formula>
    </cfRule>
  </conditionalFormatting>
  <conditionalFormatting sqref="E15 E19:E26">
    <cfRule type="cellIs" priority="94" operator="equal" stopIfTrue="1">
      <formula>"P"</formula>
    </cfRule>
    <cfRule type="cellIs" priority="95" operator="equal" dxfId="4" stopIfTrue="1">
      <formula>"F"</formula>
    </cfRule>
    <cfRule type="cellIs" priority="96" operator="equal" dxfId="3" stopIfTrue="1">
      <formula>"PE"</formula>
    </cfRule>
  </conditionalFormatting>
  <conditionalFormatting sqref="E1:Q11 H12:Q12">
    <cfRule type="cellIs" priority="152" operator="equal" dxfId="60" stopIfTrue="1">
      <formula>"P"</formula>
    </cfRule>
    <cfRule type="cellIs" priority="153" operator="equal" dxfId="1" stopIfTrue="1">
      <formula>"F"</formula>
    </cfRule>
    <cfRule type="cellIs" priority="154" operator="equal" dxfId="0" stopIfTrue="1">
      <formula>"PE"</formula>
    </cfRule>
  </conditionalFormatting>
  <conditionalFormatting sqref="D26">
    <cfRule type="cellIs" priority="52" operator="equal" dxfId="2">
      <formula>"P"</formula>
    </cfRule>
    <cfRule type="cellIs" priority="53" operator="equal" dxfId="1" stopIfTrue="1">
      <formula>"F"</formula>
    </cfRule>
    <cfRule type="cellIs" priority="54" operator="equal" dxfId="0" stopIfTrue="1">
      <formula>"PE"</formula>
    </cfRule>
  </conditionalFormatting>
  <conditionalFormatting sqref="D18 F18:P18">
    <cfRule type="cellIs" priority="70" operator="equal" dxfId="2">
      <formula>"P"</formula>
    </cfRule>
    <cfRule type="cellIs" priority="71" operator="equal" dxfId="1" stopIfTrue="1">
      <formula>"F"</formula>
    </cfRule>
    <cfRule type="cellIs" priority="72" operator="equal" dxfId="0" stopIfTrue="1">
      <formula>"PE"</formula>
    </cfRule>
  </conditionalFormatting>
  <conditionalFormatting sqref="E18">
    <cfRule type="cellIs" priority="67" operator="equal" stopIfTrue="1">
      <formula>"P"</formula>
    </cfRule>
    <cfRule type="cellIs" priority="68" operator="equal" dxfId="4" stopIfTrue="1">
      <formula>"F"</formula>
    </cfRule>
    <cfRule type="cellIs" priority="69" operator="equal" dxfId="3" stopIfTrue="1">
      <formula>"PE"</formula>
    </cfRule>
  </conditionalFormatting>
  <conditionalFormatting sqref="C18">
    <cfRule type="cellIs" priority="64" operator="equal" dxfId="2">
      <formula>"P"</formula>
    </cfRule>
    <cfRule type="cellIs" priority="65" operator="equal" dxfId="1" stopIfTrue="1">
      <formula>"F"</formula>
    </cfRule>
    <cfRule type="cellIs" priority="66" operator="equal" dxfId="0" stopIfTrue="1">
      <formula>"PE"</formula>
    </cfRule>
  </conditionalFormatting>
  <conditionalFormatting sqref="C22:D22">
    <cfRule type="cellIs" priority="61" operator="equal" dxfId="2">
      <formula>"P"</formula>
    </cfRule>
    <cfRule type="cellIs" priority="62" operator="equal" dxfId="1" stopIfTrue="1">
      <formula>"F"</formula>
    </cfRule>
    <cfRule type="cellIs" priority="63" operator="equal" dxfId="0" stopIfTrue="1">
      <formula>"PE"</formula>
    </cfRule>
  </conditionalFormatting>
  <conditionalFormatting sqref="C24:D24">
    <cfRule type="cellIs" priority="58" operator="equal" dxfId="2">
      <formula>"P"</formula>
    </cfRule>
    <cfRule type="cellIs" priority="59" operator="equal" dxfId="1" stopIfTrue="1">
      <formula>"F"</formula>
    </cfRule>
    <cfRule type="cellIs" priority="60" operator="equal" dxfId="0" stopIfTrue="1">
      <formula>"PE"</formula>
    </cfRule>
  </conditionalFormatting>
  <conditionalFormatting sqref="C25">
    <cfRule type="cellIs" priority="55" operator="equal" dxfId="2">
      <formula>"P"</formula>
    </cfRule>
    <cfRule type="cellIs" priority="56" operator="equal" dxfId="1" stopIfTrue="1">
      <formula>"F"</formula>
    </cfRule>
    <cfRule type="cellIs" priority="57" operator="equal" dxfId="0" stopIfTrue="1">
      <formula>"PE"</formula>
    </cfRule>
  </conditionalFormatting>
  <conditionalFormatting sqref="D33">
    <cfRule type="cellIs" priority="4" operator="equal" dxfId="2">
      <formula>"P"</formula>
    </cfRule>
    <cfRule type="cellIs" priority="5" operator="equal" dxfId="1" stopIfTrue="1">
      <formula>"F"</formula>
    </cfRule>
    <cfRule type="cellIs" priority="6" operator="equal" dxfId="0" stopIfTrue="1">
      <formula>"PE"</formula>
    </cfRule>
  </conditionalFormatting>
  <conditionalFormatting sqref="C26">
    <cfRule type="cellIs" priority="49" operator="equal" dxfId="2">
      <formula>"P"</formula>
    </cfRule>
    <cfRule type="cellIs" priority="50" operator="equal" dxfId="1" stopIfTrue="1">
      <formula>"F"</formula>
    </cfRule>
    <cfRule type="cellIs" priority="51" operator="equal" dxfId="0" stopIfTrue="1">
      <formula>"PE"</formula>
    </cfRule>
  </conditionalFormatting>
  <conditionalFormatting sqref="D28 F28:P28">
    <cfRule type="cellIs" priority="46" operator="equal" dxfId="2">
      <formula>"P"</formula>
    </cfRule>
    <cfRule type="cellIs" priority="47" operator="equal" dxfId="1" stopIfTrue="1">
      <formula>"F"</formula>
    </cfRule>
    <cfRule type="cellIs" priority="48" operator="equal" dxfId="0" stopIfTrue="1">
      <formula>"PE"</formula>
    </cfRule>
  </conditionalFormatting>
  <conditionalFormatting sqref="E28">
    <cfRule type="cellIs" priority="43" operator="equal" stopIfTrue="1">
      <formula>"P"</formula>
    </cfRule>
    <cfRule type="cellIs" priority="44" operator="equal" dxfId="4" stopIfTrue="1">
      <formula>"F"</formula>
    </cfRule>
    <cfRule type="cellIs" priority="45" operator="equal" dxfId="3" stopIfTrue="1">
      <formula>"PE"</formula>
    </cfRule>
  </conditionalFormatting>
  <conditionalFormatting sqref="C28">
    <cfRule type="cellIs" priority="40" operator="equal" dxfId="2">
      <formula>"P"</formula>
    </cfRule>
    <cfRule type="cellIs" priority="41" operator="equal" dxfId="1" stopIfTrue="1">
      <formula>"F"</formula>
    </cfRule>
    <cfRule type="cellIs" priority="42" operator="equal" dxfId="0" stopIfTrue="1">
      <formula>"PE"</formula>
    </cfRule>
  </conditionalFormatting>
  <conditionalFormatting sqref="C33">
    <cfRule type="cellIs" priority="1" operator="equal" dxfId="2">
      <formula>"P"</formula>
    </cfRule>
    <cfRule type="cellIs" priority="2" operator="equal" dxfId="1" stopIfTrue="1">
      <formula>"F"</formula>
    </cfRule>
    <cfRule type="cellIs" priority="3" operator="equal" dxfId="0" stopIfTrue="1">
      <formula>"PE"</formula>
    </cfRule>
  </conditionalFormatting>
  <conditionalFormatting sqref="C29:D29 F29:P29">
    <cfRule type="cellIs" priority="37" operator="equal" dxfId="2">
      <formula>"P"</formula>
    </cfRule>
    <cfRule type="cellIs" priority="38" operator="equal" dxfId="1" stopIfTrue="1">
      <formula>"F"</formula>
    </cfRule>
    <cfRule type="cellIs" priority="39" operator="equal" dxfId="0" stopIfTrue="1">
      <formula>"PE"</formula>
    </cfRule>
  </conditionalFormatting>
  <conditionalFormatting sqref="E29">
    <cfRule type="cellIs" priority="34" operator="equal" stopIfTrue="1">
      <formula>"P"</formula>
    </cfRule>
    <cfRule type="cellIs" priority="35" operator="equal" dxfId="4" stopIfTrue="1">
      <formula>"F"</formula>
    </cfRule>
    <cfRule type="cellIs" priority="36" operator="equal" dxfId="3" stopIfTrue="1">
      <formula>"PE"</formula>
    </cfRule>
  </conditionalFormatting>
  <conditionalFormatting sqref="F30:P30">
    <cfRule type="cellIs" priority="31" operator="equal" dxfId="2">
      <formula>"P"</formula>
    </cfRule>
    <cfRule type="cellIs" priority="32" operator="equal" dxfId="1" stopIfTrue="1">
      <formula>"F"</formula>
    </cfRule>
    <cfRule type="cellIs" priority="33" operator="equal" dxfId="0" stopIfTrue="1">
      <formula>"PE"</formula>
    </cfRule>
  </conditionalFormatting>
  <conditionalFormatting sqref="E30">
    <cfRule type="cellIs" priority="28" operator="equal" stopIfTrue="1">
      <formula>"P"</formula>
    </cfRule>
    <cfRule type="cellIs" priority="29" operator="equal" dxfId="4" stopIfTrue="1">
      <formula>"F"</formula>
    </cfRule>
    <cfRule type="cellIs" priority="30" operator="equal" dxfId="3" stopIfTrue="1">
      <formula>"PE"</formula>
    </cfRule>
  </conditionalFormatting>
  <conditionalFormatting sqref="C30:D30">
    <cfRule type="cellIs" priority="25" operator="equal" dxfId="2">
      <formula>"P"</formula>
    </cfRule>
    <cfRule type="cellIs" priority="26" operator="equal" dxfId="1" stopIfTrue="1">
      <formula>"F"</formula>
    </cfRule>
    <cfRule type="cellIs" priority="27" operator="equal" dxfId="0" stopIfTrue="1">
      <formula>"PE"</formula>
    </cfRule>
  </conditionalFormatting>
  <conditionalFormatting sqref="F31:P31">
    <cfRule type="cellIs" priority="22" operator="equal" dxfId="2">
      <formula>"P"</formula>
    </cfRule>
    <cfRule type="cellIs" priority="23" operator="equal" dxfId="1" stopIfTrue="1">
      <formula>"F"</formula>
    </cfRule>
    <cfRule type="cellIs" priority="24" operator="equal" dxfId="0" stopIfTrue="1">
      <formula>"PE"</formula>
    </cfRule>
  </conditionalFormatting>
  <conditionalFormatting sqref="E31">
    <cfRule type="cellIs" priority="19" operator="equal" stopIfTrue="1">
      <formula>"P"</formula>
    </cfRule>
    <cfRule type="cellIs" priority="20" operator="equal" dxfId="4" stopIfTrue="1">
      <formula>"F"</formula>
    </cfRule>
    <cfRule type="cellIs" priority="21" operator="equal" dxfId="3" stopIfTrue="1">
      <formula>"PE"</formula>
    </cfRule>
  </conditionalFormatting>
  <conditionalFormatting sqref="C31:D31">
    <cfRule type="cellIs" priority="16" operator="equal" dxfId="2">
      <formula>"P"</formula>
    </cfRule>
    <cfRule type="cellIs" priority="17" operator="equal" dxfId="1" stopIfTrue="1">
      <formula>"F"</formula>
    </cfRule>
    <cfRule type="cellIs" priority="18" operator="equal" dxfId="0" stopIfTrue="1">
      <formula>"PE"</formula>
    </cfRule>
  </conditionalFormatting>
  <conditionalFormatting sqref="D32 F32:P33">
    <cfRule type="cellIs" priority="13" operator="equal" dxfId="2">
      <formula>"P"</formula>
    </cfRule>
    <cfRule type="cellIs" priority="14" operator="equal" dxfId="1" stopIfTrue="1">
      <formula>"F"</formula>
    </cfRule>
    <cfRule type="cellIs" priority="15" operator="equal" dxfId="0" stopIfTrue="1">
      <formula>"PE"</formula>
    </cfRule>
  </conditionalFormatting>
  <conditionalFormatting sqref="E32:E33">
    <cfRule type="cellIs" priority="10" operator="equal" stopIfTrue="1">
      <formula>"P"</formula>
    </cfRule>
    <cfRule type="cellIs" priority="11" operator="equal" dxfId="4" stopIfTrue="1">
      <formula>"F"</formula>
    </cfRule>
    <cfRule type="cellIs" priority="12" operator="equal" dxfId="3" stopIfTrue="1">
      <formula>"PE"</formula>
    </cfRule>
  </conditionalFormatting>
  <conditionalFormatting sqref="C32">
    <cfRule type="cellIs" priority="7" operator="equal" dxfId="2">
      <formula>"P"</formula>
    </cfRule>
    <cfRule type="cellIs" priority="8" operator="equal" dxfId="1" stopIfTrue="1">
      <formula>"F"</formula>
    </cfRule>
    <cfRule type="cellIs" priority="9" operator="equal" dxfId="0" stopIfTrue="1">
      <formula>"PE"</formula>
    </cfRule>
  </conditionalFormatting>
  <dataValidations count="1">
    <dataValidation sqref="E15 E18:E26 E28:E33" showDropDown="0" showInputMessage="1" showErrorMessage="1" allowBlank="1" type="list">
      <formula1>"P,F,PE"</formula1>
    </dataValidation>
  </dataValidations>
  <pageMargins left="0.7" right="0.7" top="0.75" bottom="0.75" header="0.3" footer="0.3"/>
  <pageSetup orientation="portrait"/>
</worksheet>
</file>

<file path=xl/worksheets/sheet5.xml><?xml version="1.0" encoding="utf-8"?>
<worksheet xmlns="http://schemas.openxmlformats.org/spreadsheetml/2006/main">
  <sheetPr>
    <outlinePr summaryBelow="0"/>
    <pageSetUpPr/>
  </sheetPr>
  <dimension ref="A1:AU30"/>
  <sheetViews>
    <sheetView tabSelected="1" workbookViewId="0">
      <selection activeCell="I5" sqref="I5"/>
    </sheetView>
  </sheetViews>
  <sheetFormatPr baseColWidth="8" defaultColWidth="11.25" defaultRowHeight="15.75" outlineLevelRow="3"/>
  <cols>
    <col width="15.25" customWidth="1" style="96" min="1" max="1"/>
    <col width="28.75" customWidth="1" style="92" min="2" max="2"/>
    <col width="58.75" customWidth="1" style="92" min="3" max="3"/>
    <col width="62.125" customWidth="1" style="92" min="4" max="4"/>
    <col width="5.25" customWidth="1" style="96" min="5" max="6"/>
    <col width="6.875" customWidth="1" style="96" min="7" max="7"/>
    <col width="5.25" customWidth="1" style="96" min="8" max="10"/>
    <col hidden="1" width="6" customWidth="1" style="96" min="11" max="16"/>
    <col width="8.5" customWidth="1" style="96" min="17" max="17"/>
    <col width="13.5" customWidth="1" style="92" min="18" max="18"/>
    <col width="19.75" customWidth="1" style="92" min="19" max="19"/>
    <col width="7.75" customWidth="1" style="92" min="20" max="21"/>
    <col width="11.25" customWidth="1" style="92" min="22" max="16384"/>
  </cols>
  <sheetData>
    <row r="1" ht="33" customHeight="1">
      <c r="A1" s="90" t="n"/>
      <c r="B1" s="91" t="n"/>
      <c r="C1" s="196" t="inlineStr">
        <is>
          <t>KỊCH BẢN KIỂM THỬ *</t>
        </is>
      </c>
      <c r="D1" s="209" t="n"/>
      <c r="E1" s="90" t="n"/>
      <c r="F1" s="90" t="n"/>
      <c r="G1" s="90" t="n"/>
      <c r="H1" s="90" t="n"/>
      <c r="I1" s="90" t="n"/>
      <c r="J1" s="90" t="n"/>
      <c r="K1" s="90" t="n"/>
      <c r="L1" s="90" t="n"/>
      <c r="M1" s="90" t="n"/>
      <c r="N1" s="90" t="n"/>
      <c r="O1" s="90" t="n"/>
      <c r="P1" s="90" t="n"/>
      <c r="Q1" s="90" t="n"/>
      <c r="R1" s="91" t="n"/>
      <c r="S1" s="91" t="n"/>
      <c r="T1" s="91" t="n"/>
      <c r="U1" s="91" t="n"/>
    </row>
    <row r="2">
      <c r="A2" s="90" t="n"/>
      <c r="B2" s="91" t="n"/>
      <c r="C2" s="93" t="inlineStr">
        <is>
          <t>Tên màn hình/Tên chức năng</t>
        </is>
      </c>
      <c r="D2" s="94" t="inlineStr">
        <is>
          <t>NV_08_Thêm hạn xử lý ở Danh sách người cùng nhận</t>
        </is>
      </c>
      <c r="E2" s="90" t="n"/>
      <c r="F2" s="90" t="n"/>
      <c r="G2" s="90" t="n"/>
      <c r="H2" s="90" t="n"/>
      <c r="I2" s="90" t="n"/>
      <c r="J2" s="90" t="n"/>
      <c r="K2" s="90" t="n"/>
      <c r="L2" s="90" t="n"/>
      <c r="M2" s="90" t="n"/>
      <c r="N2" s="90" t="n"/>
      <c r="O2" s="90" t="n"/>
      <c r="P2" s="90" t="n"/>
      <c r="Q2" s="90" t="n"/>
      <c r="R2" s="91" t="n"/>
      <c r="S2" s="91" t="n"/>
      <c r="T2" s="91" t="n"/>
      <c r="U2" s="91" t="n"/>
    </row>
    <row r="3">
      <c r="A3" s="90" t="n"/>
      <c r="B3" s="91" t="n"/>
      <c r="C3" s="93" t="inlineStr">
        <is>
          <t>Mã trường hợp kiểm thử</t>
        </is>
      </c>
      <c r="D3" s="94" t="inlineStr">
        <is>
          <t>NV_08</t>
        </is>
      </c>
      <c r="E3" s="90" t="n"/>
      <c r="F3" s="90" t="n"/>
      <c r="G3" s="90" t="n"/>
      <c r="H3" s="90" t="n"/>
      <c r="I3" s="90" t="n"/>
      <c r="J3" s="90" t="n"/>
      <c r="K3" s="90" t="n"/>
      <c r="L3" s="90" t="n"/>
      <c r="M3" s="90" t="n"/>
      <c r="N3" s="90" t="n"/>
      <c r="O3" s="90" t="n"/>
      <c r="P3" s="90" t="n"/>
      <c r="Q3" s="90" t="n"/>
      <c r="R3" s="91" t="n"/>
      <c r="S3" s="91" t="n"/>
      <c r="T3" s="91" t="n"/>
      <c r="U3" s="91" t="n"/>
    </row>
    <row r="4">
      <c r="A4" s="90" t="n"/>
      <c r="B4" s="91" t="n"/>
      <c r="C4" s="93" t="inlineStr">
        <is>
          <t>Số trường hợp kiểm thử đạt (P)</t>
        </is>
      </c>
      <c r="D4" s="95">
        <f>COUNTIF($E$13:$E$30,"P")</f>
        <v/>
      </c>
      <c r="E4" s="90" t="n"/>
      <c r="F4" s="90" t="n"/>
      <c r="G4" s="90" t="n"/>
      <c r="H4" s="90" t="n"/>
      <c r="I4" s="90" t="n"/>
      <c r="J4" s="90" t="n"/>
      <c r="K4" s="90" t="n"/>
      <c r="L4" s="90" t="n"/>
      <c r="M4" s="90" t="n"/>
      <c r="N4" s="90" t="n"/>
      <c r="O4" s="90" t="n"/>
      <c r="P4" s="90" t="n"/>
      <c r="Q4" s="90" t="n"/>
      <c r="R4" s="91" t="n"/>
      <c r="S4" s="91" t="n"/>
      <c r="T4" s="91" t="n"/>
      <c r="U4" s="91" t="n"/>
    </row>
    <row r="5">
      <c r="A5" s="90" t="n"/>
      <c r="B5" s="91" t="n"/>
      <c r="C5" s="93" t="inlineStr">
        <is>
          <t>Số trường hợp kiểm thử không đạt (F)</t>
        </is>
      </c>
      <c r="D5" s="95">
        <f>COUNTIF($E$13:$E$30,"F")</f>
        <v/>
      </c>
      <c r="E5" s="90" t="n"/>
      <c r="F5" s="90" t="n"/>
      <c r="G5" s="90" t="n"/>
      <c r="H5" s="90" t="n"/>
      <c r="I5" s="90" t="n"/>
      <c r="J5" s="90" t="n"/>
      <c r="K5" s="90" t="n"/>
      <c r="L5" s="90" t="n"/>
      <c r="M5" s="90" t="n"/>
      <c r="N5" s="90" t="n"/>
      <c r="O5" s="90" t="n"/>
      <c r="P5" s="90" t="n"/>
      <c r="Q5" s="90" t="n"/>
      <c r="R5" s="91" t="n"/>
      <c r="S5" s="91" t="n"/>
      <c r="T5" s="91" t="n"/>
      <c r="U5" s="91" t="n"/>
    </row>
    <row r="6">
      <c r="A6" s="90" t="n"/>
      <c r="B6" s="91" t="n"/>
      <c r="C6" s="93" t="inlineStr">
        <is>
          <t>Số trường hợp kiểm thử đang xem xét (PE)</t>
        </is>
      </c>
      <c r="D6" s="95">
        <f>COUNTIF($Q$13:$Q$30,"PE")</f>
        <v/>
      </c>
      <c r="E6" s="90" t="n"/>
      <c r="F6" s="90" t="n"/>
      <c r="G6" s="90" t="n"/>
      <c r="H6" s="90" t="n"/>
      <c r="I6" s="90" t="n"/>
      <c r="J6" s="90" t="n"/>
      <c r="K6" s="90" t="n"/>
      <c r="L6" s="90" t="n"/>
      <c r="M6" s="90" t="n"/>
      <c r="N6" s="90" t="n"/>
      <c r="O6" s="90" t="n"/>
      <c r="P6" s="90" t="n"/>
      <c r="Q6" s="90" t="n"/>
      <c r="R6" s="91" t="n"/>
      <c r="S6" s="91" t="n"/>
      <c r="T6" s="91" t="n"/>
      <c r="U6" s="91" t="n"/>
    </row>
    <row r="7">
      <c r="A7" s="90" t="n"/>
      <c r="B7" s="91" t="n"/>
      <c r="C7" s="93" t="inlineStr">
        <is>
          <t>Số trường hợp kiểm thử chưa thực hiện</t>
        </is>
      </c>
      <c r="D7" s="95">
        <f>D8-D4-D5-D6</f>
        <v/>
      </c>
      <c r="E7" s="90" t="n"/>
      <c r="F7" s="90" t="n"/>
      <c r="G7" s="90" t="n"/>
      <c r="H7" s="90" t="n"/>
      <c r="I7" s="90" t="n"/>
      <c r="J7" s="90" t="n"/>
      <c r="K7" s="90" t="n"/>
      <c r="L7" s="90" t="n"/>
      <c r="M7" s="90" t="n"/>
      <c r="N7" s="90" t="n"/>
      <c r="O7" s="90" t="n"/>
      <c r="P7" s="90" t="n"/>
      <c r="Q7" s="90" t="n"/>
      <c r="R7" s="91" t="n"/>
      <c r="S7" s="91" t="n"/>
      <c r="T7" s="91" t="n"/>
      <c r="U7" s="91" t="n"/>
    </row>
    <row r="8">
      <c r="A8" s="90" t="n"/>
      <c r="B8" s="91" t="n"/>
      <c r="C8" s="93" t="inlineStr">
        <is>
          <t>Tổng số trường hợp kiểm thử</t>
        </is>
      </c>
      <c r="D8" s="95">
        <f>COUNTA($Q$13:$Q$30)</f>
        <v/>
      </c>
      <c r="E8" s="90" t="n"/>
      <c r="F8" s="90" t="n"/>
      <c r="G8" s="90" t="n"/>
      <c r="H8" s="90" t="n"/>
      <c r="I8" s="90" t="n"/>
      <c r="J8" s="90" t="n"/>
      <c r="K8" s="90" t="n"/>
      <c r="L8" s="90" t="n"/>
      <c r="M8" s="90" t="n"/>
      <c r="N8" s="90" t="n"/>
      <c r="O8" s="90" t="n"/>
      <c r="P8" s="90" t="n"/>
      <c r="Q8" s="90" t="n"/>
      <c r="R8" s="91" t="n"/>
      <c r="S8" s="91" t="n"/>
      <c r="T8" s="91" t="n"/>
      <c r="U8" s="91" t="n"/>
    </row>
    <row r="9">
      <c r="A9" s="90" t="n"/>
      <c r="B9" s="91" t="n"/>
      <c r="C9" s="91" t="n"/>
      <c r="D9" s="91" t="n"/>
      <c r="E9" s="90" t="n"/>
      <c r="F9" s="90" t="n"/>
      <c r="G9" s="90" t="n"/>
      <c r="H9" s="90" t="n"/>
      <c r="I9" s="90" t="n"/>
      <c r="J9" s="90" t="n"/>
      <c r="K9" s="90" t="n"/>
      <c r="L9" s="90" t="n"/>
      <c r="M9" s="90" t="n"/>
      <c r="N9" s="90" t="n"/>
      <c r="O9" s="90" t="n"/>
      <c r="P9" s="90" t="n"/>
      <c r="Q9" s="90" t="n"/>
      <c r="R9" s="91" t="n"/>
      <c r="S9" s="91" t="n"/>
      <c r="T9" s="91" t="n"/>
      <c r="U9" s="91" t="n"/>
    </row>
    <row r="10">
      <c r="A10" s="193" t="inlineStr">
        <is>
          <t>Mã trường hợp kiểm thử</t>
        </is>
      </c>
      <c r="B10" s="193" t="inlineStr">
        <is>
          <t>Mục đích kiểm thử</t>
        </is>
      </c>
      <c r="C10" s="193" t="inlineStr">
        <is>
          <t>Các bước thực hiện</t>
        </is>
      </c>
      <c r="D10" s="193" t="inlineStr">
        <is>
          <t>Kết quả mong muốn</t>
        </is>
      </c>
      <c r="E10" s="9" t="inlineStr">
        <is>
          <t>Mobile</t>
        </is>
      </c>
      <c r="F10" s="210" t="n"/>
      <c r="G10" s="211" t="n"/>
      <c r="H10" s="9" t="inlineStr">
        <is>
          <t>Tablet</t>
        </is>
      </c>
      <c r="I10" s="210" t="n"/>
      <c r="J10" s="211" t="n"/>
      <c r="K10" s="9" t="inlineStr">
        <is>
          <t>&lt;Tên trình duyệt 3&gt;</t>
        </is>
      </c>
      <c r="L10" s="210" t="n"/>
      <c r="M10" s="211" t="n"/>
      <c r="N10" s="9" t="inlineStr">
        <is>
          <t>&lt;Tên trình duyệt 4&gt;</t>
        </is>
      </c>
      <c r="O10" s="210" t="n"/>
      <c r="P10" s="211" t="n"/>
      <c r="Q10" s="193" t="inlineStr">
        <is>
          <t>Kết quả hiện tại</t>
        </is>
      </c>
      <c r="R10" s="193" t="inlineStr">
        <is>
          <t>Mã lỗi</t>
        </is>
      </c>
      <c r="S10" s="9" t="inlineStr">
        <is>
          <t>Ghi chú</t>
        </is>
      </c>
      <c r="T10" s="90" t="n"/>
      <c r="U10" s="90" t="n"/>
      <c r="V10" s="90" t="n"/>
      <c r="W10" s="96" t="n"/>
      <c r="X10" s="96" t="n"/>
      <c r="Y10" s="96" t="n"/>
      <c r="Z10" s="96" t="n"/>
      <c r="AA10" s="96" t="n"/>
      <c r="AB10" s="96" t="n"/>
      <c r="AC10" s="96" t="n"/>
      <c r="AD10" s="96" t="n"/>
      <c r="AE10" s="96" t="n"/>
      <c r="AF10" s="96" t="n"/>
      <c r="AG10" s="96" t="n"/>
      <c r="AH10" s="96" t="n"/>
      <c r="AI10" s="96" t="n"/>
      <c r="AJ10" s="96" t="n"/>
      <c r="AK10" s="96" t="n"/>
      <c r="AL10" s="96" t="n"/>
      <c r="AM10" s="96" t="n"/>
      <c r="AN10" s="96" t="n"/>
      <c r="AO10" s="96" t="n"/>
      <c r="AP10" s="96" t="n"/>
      <c r="AQ10" s="96" t="n"/>
      <c r="AR10" s="96" t="n"/>
      <c r="AS10" s="96" t="n"/>
      <c r="AT10" s="96" t="n"/>
      <c r="AU10" s="96" t="n"/>
    </row>
    <row r="11" ht="31.5" customHeight="1">
      <c r="A11" s="212" t="n"/>
      <c r="B11" s="212" t="n"/>
      <c r="C11" s="212" t="n"/>
      <c r="D11" s="212" t="n"/>
      <c r="E11" s="193" t="inlineStr">
        <is>
          <t>Lần 1</t>
        </is>
      </c>
      <c r="F11" s="193" t="inlineStr">
        <is>
          <t>Lần 2</t>
        </is>
      </c>
      <c r="G11" s="193" t="inlineStr">
        <is>
          <t>Lần 3</t>
        </is>
      </c>
      <c r="H11" s="193" t="inlineStr">
        <is>
          <t>Lần 1</t>
        </is>
      </c>
      <c r="I11" s="193" t="inlineStr">
        <is>
          <t>Lần 2</t>
        </is>
      </c>
      <c r="J11" s="193" t="inlineStr">
        <is>
          <t>Lần 3</t>
        </is>
      </c>
      <c r="K11" s="193" t="inlineStr">
        <is>
          <t>Lần 1</t>
        </is>
      </c>
      <c r="L11" s="193" t="inlineStr">
        <is>
          <t>Lần 2</t>
        </is>
      </c>
      <c r="M11" s="193" t="inlineStr">
        <is>
          <t>Lần 3</t>
        </is>
      </c>
      <c r="N11" s="193" t="inlineStr">
        <is>
          <t>Lần 1</t>
        </is>
      </c>
      <c r="O11" s="193" t="inlineStr">
        <is>
          <t>Lần 2</t>
        </is>
      </c>
      <c r="P11" s="193" t="inlineStr">
        <is>
          <t>Lần 3</t>
        </is>
      </c>
      <c r="Q11" s="212" t="n"/>
      <c r="R11" s="212" t="n"/>
      <c r="S11" s="213" t="n"/>
      <c r="T11" s="90" t="n"/>
      <c r="U11" s="90" t="n"/>
      <c r="V11" s="90" t="n"/>
      <c r="W11" s="96" t="n"/>
      <c r="X11" s="96" t="n"/>
      <c r="Y11" s="96" t="n"/>
      <c r="Z11" s="96" t="n"/>
      <c r="AA11" s="96" t="n"/>
      <c r="AB11" s="96" t="n"/>
      <c r="AC11" s="96" t="n"/>
      <c r="AD11" s="96" t="n"/>
      <c r="AE11" s="96" t="n"/>
      <c r="AF11" s="96" t="n"/>
      <c r="AG11" s="96" t="n"/>
      <c r="AH11" s="96" t="n"/>
      <c r="AI11" s="96" t="n"/>
      <c r="AJ11" s="96" t="n"/>
      <c r="AK11" s="96" t="n"/>
      <c r="AL11" s="96" t="n"/>
      <c r="AM11" s="96" t="n"/>
      <c r="AN11" s="96" t="n"/>
      <c r="AO11" s="96" t="n"/>
      <c r="AP11" s="96" t="n"/>
      <c r="AQ11" s="96" t="n"/>
      <c r="AR11" s="96" t="n"/>
      <c r="AS11" s="96" t="n"/>
      <c r="AT11" s="96" t="n"/>
      <c r="AU11" s="96" t="n"/>
    </row>
    <row r="12" ht="15.75" customHeight="1">
      <c r="A12" s="101" t="n"/>
      <c r="B12" s="200" t="inlineStr">
        <is>
          <t xml:space="preserve">NV_08_Thêm hạn xử lý ở Danh sách người cùng nhận_App
</t>
        </is>
      </c>
      <c r="C12" s="206" t="n"/>
      <c r="D12" s="200" t="n"/>
      <c r="E12" s="200" t="n"/>
      <c r="F12" s="200" t="n"/>
      <c r="G12" s="200" t="n"/>
      <c r="H12" s="200" t="n"/>
      <c r="I12" s="200" t="n"/>
      <c r="J12" s="200" t="n"/>
      <c r="K12" s="139" t="n"/>
      <c r="L12" s="139" t="n"/>
      <c r="M12" s="139" t="n"/>
      <c r="N12" s="139" t="n"/>
      <c r="O12" s="139" t="n"/>
      <c r="P12" s="139" t="n"/>
      <c r="Q12" s="140" t="n"/>
      <c r="R12" s="141" t="n"/>
      <c r="S12" s="133" t="n"/>
      <c r="T12" s="90" t="n"/>
      <c r="U12" s="90" t="n"/>
      <c r="V12" s="90" t="n"/>
      <c r="W12" s="96" t="n"/>
      <c r="X12" s="96" t="n"/>
      <c r="Y12" s="96" t="n"/>
      <c r="Z12" s="96" t="n"/>
      <c r="AA12" s="96" t="n"/>
      <c r="AB12" s="96" t="n"/>
      <c r="AC12" s="96" t="n"/>
      <c r="AD12" s="96" t="n"/>
      <c r="AE12" s="96" t="n"/>
      <c r="AF12" s="96" t="n"/>
      <c r="AG12" s="96" t="n"/>
      <c r="AH12" s="96" t="n"/>
      <c r="AI12" s="96" t="n"/>
      <c r="AJ12" s="96" t="n"/>
      <c r="AK12" s="96" t="n"/>
      <c r="AL12" s="96" t="n"/>
      <c r="AM12" s="96" t="n"/>
      <c r="AN12" s="96" t="n"/>
      <c r="AO12" s="96" t="n"/>
      <c r="AP12" s="96" t="n"/>
      <c r="AQ12" s="96" t="n"/>
      <c r="AR12" s="96" t="n"/>
      <c r="AS12" s="96" t="n"/>
      <c r="AT12" s="96" t="n"/>
      <c r="AU12" s="96" t="n"/>
    </row>
    <row r="13" ht="250" customHeight="1">
      <c r="A13" s="97" t="n"/>
      <c r="B13" s="188" t="inlineStr">
        <is>
          <t>A: Các bước thực hiện
Pre- condition:
1. Cài ứng dụng di động bản có hỗ trợ cột Hạn xử lý, trỏ về môi trường kiểm thử: &lt;điền link môi trường test&gt;
2. Tài khoản: Văn thư &lt;acc VT&gt;, Lãnh đạo &lt;acc LĐ&gt;, Chuyên viên &lt;acc CV&gt;
3. Dùng lại bộ dữ liệu VB1 đến VB9 đã chuẩn bị ở sheet Web
Lưu ý: phần giao diện App phụ thuộc điểm cần chốt TBD-01 của đặc tả (đội di động xác nhận hiển thị ở đâu và từ phiên bản nào). Nếu App chưa làm trong đợt này thì để trống kết quả và ghi lý do ở cột Ghi chú.
B: Mô tả chức năng
Mục Người cùng nhận trong màn chi tiết văn bản trên ứng dụng di động hiển thị thêm hạn xử lý của từng dòng, theo cùng quy tắc với Web.
C: Các bảng tác động
- DOCUMENT_IN_STAFF, cột DEADLINE_DATE (chỉ đọc)
- DOCUMENT_IN_GROUP, cột DEADLINE_DATE (chỉ đọc)
Không thêm bảng, không thêm cột.</t>
        </is>
      </c>
      <c r="C13" s="215" t="n"/>
      <c r="D13" s="215" t="n"/>
      <c r="E13" s="98" t="n"/>
      <c r="F13" s="98" t="n"/>
      <c r="G13" s="98" t="n"/>
      <c r="H13" s="98" t="n"/>
      <c r="I13" s="98" t="n"/>
      <c r="J13" s="98" t="n"/>
      <c r="K13" s="98" t="n"/>
      <c r="L13" s="98" t="n"/>
      <c r="M13" s="98" t="n"/>
      <c r="N13" s="98" t="n"/>
      <c r="O13" s="98" t="n"/>
      <c r="P13" s="98" t="n"/>
      <c r="Q13" s="98" t="n"/>
      <c r="R13" s="137" t="n"/>
      <c r="S13" s="99" t="n"/>
      <c r="T13" s="100" t="n"/>
      <c r="U13" s="100" t="n"/>
      <c r="V13" s="100" t="n"/>
    </row>
    <row r="14" outlineLevel="1" ht="16.15" customHeight="1">
      <c r="A14" s="101">
        <f>IF(AND(C14="",C14=""),"",$D$3&amp;"_"&amp;ROW()-12-COUNTBLANK($C$13:C14))</f>
        <v/>
      </c>
      <c r="B14" s="14" t="inlineStr">
        <is>
          <t>Giao diện (Phần này viết các trường hợp kiểm thử cho giao diên chung và các giao diện cho các control)</t>
        </is>
      </c>
      <c r="C14" s="205" t="n"/>
      <c r="D14" s="205" t="n"/>
      <c r="E14" s="205" t="n"/>
      <c r="F14" s="205" t="n"/>
      <c r="G14" s="205" t="n"/>
      <c r="H14" s="205" t="n"/>
      <c r="I14" s="205" t="n"/>
      <c r="J14" s="205" t="n"/>
      <c r="K14" s="205" t="n"/>
      <c r="L14" s="205" t="n"/>
      <c r="M14" s="205" t="n"/>
      <c r="N14" s="205" t="n"/>
      <c r="O14" s="205" t="n"/>
      <c r="P14" s="205" t="n"/>
      <c r="Q14" s="206" t="n"/>
      <c r="R14" s="114" t="n"/>
      <c r="S14" s="115" t="n"/>
    </row>
    <row r="15" outlineLevel="2">
      <c r="A15" s="101">
        <f>IF(AND(C15="",C15=""),"",$D$3&amp;"_"&amp;ROW()-12-COUNTBLANK($C$13:C15))</f>
        <v/>
      </c>
      <c r="B15" s="130" t="inlineStr">
        <is>
          <t>Kiểm tra tổng thể giao diện màn chi tiết văn bản trên ứng dụng</t>
        </is>
      </c>
      <c r="C15" s="130" t="inlineStr">
        <is>
          <t>1. Mở chi tiết văn bản VB1 trên ứng dụng
2. Mở mục Người cùng nhận
3. Kiểm tra bố cục, font chữ, chính tả</t>
        </is>
      </c>
      <c r="D15" s="130" t="inlineStr">
        <is>
          <t>1. Bố cục 
- Form được bố trí hợp lý và dễ sử dụng
2. Font chữ và màu chữ: 
- Các text sử dụng cùng 1 loại font chữ, cỡ chữ
- Màu chữ giống giao diện prototype
3. Chính tả: Không có lỗi về chính tả, cấu trúc câu, ngữ pháp trên màn hình</t>
        </is>
      </c>
      <c r="E15" s="109" t="n"/>
      <c r="F15" s="125" t="n"/>
      <c r="G15" s="125" t="n"/>
      <c r="H15" s="109" t="n"/>
      <c r="I15" s="107" t="n"/>
      <c r="J15" s="107" t="n"/>
      <c r="K15" s="124" t="n"/>
      <c r="L15" s="124" t="n"/>
      <c r="M15" s="124" t="n"/>
      <c r="N15" s="124" t="n"/>
      <c r="O15" s="124" t="n"/>
      <c r="P15" s="124" t="n"/>
      <c r="Q15" s="108">
        <f>IF(OR(IF(G15="",IF(F15="",IF(E15="","",E15),F15),G15)="F",IF(J15="",IF(I15="",IF(H15="","",H15),I15),J15)="F",IF(M15="",IF(L15="",IF(K15="","",K15),L15),M15)="F",IF(P15="",IF(O15="",IF(N15="","",N15),O15),P15)="F")=TRUE,"F",IF(OR(IF(G15="",IF(F15="",IF(E15="","",E15),F15),G15)="PE",IF(J15="",IF(I15="",IF(H15="","",H15),I15),J15)="PE",IF(M15="",IF(L15="",IF(K15="","",K15),L15),M15)="PE",IF(P15="",IF(O15="",IF(N15="","",N15),O15),P15)="PE")=TRUE,"PE",IF(AND(IF(G15="",IF(F15="",IF(E15="","",E15),F15),G15)="",IF(J15="",IF(I15="",IF(H15="","",H15),I15),J15)="",IF(M15="",IF(L15="",IF(K15="","",K15),L15),M15)="",IF(P15="",IF(O15="",IF(N15="","",N15),O15),P15)="")=TRUE,"","P")))</f>
        <v/>
      </c>
      <c r="R15" s="126" t="n"/>
      <c r="S15" s="127" t="inlineStr">
        <is>
          <t>Phụ thuộc TBD-01: đội di động chốt vị trí hiển thị và phiên bản áp dụng.</t>
        </is>
      </c>
    </row>
    <row r="16" outlineLevel="1" customFormat="1" s="122">
      <c r="A16" s="101">
        <f>IF(AND(C16="",C16=""),"",$D$3&amp;"_"&amp;ROW()-12-COUNTBLANK($C$13:C16))</f>
        <v/>
      </c>
      <c r="B16" s="130" t="inlineStr">
        <is>
          <t>Kiểm tra vị trí hiển thị của thông tin Hạn xử lý</t>
        </is>
      </c>
      <c r="C16" s="130" t="inlineStr">
        <is>
          <t>1. Mở chi tiết VB1 trên ứng dụng
2. Mở mục Người cùng nhận</t>
        </is>
      </c>
      <c r="D16" s="130" t="inlineStr">
        <is>
          <t>Mỗi dòng người cùng nhận hiển thị thêm thông tin Hạn xử lý, đặt cạnh thời gian chuyển, theo đúng thiết kế màn hình đã duyệt cho ứng dụng.</t>
        </is>
      </c>
      <c r="E16" s="109" t="n"/>
      <c r="F16" s="125" t="n"/>
      <c r="G16" s="125" t="n"/>
      <c r="H16" s="109" t="n"/>
      <c r="I16" s="107" t="n"/>
      <c r="J16" s="107" t="n"/>
      <c r="K16" s="124" t="n"/>
      <c r="L16" s="124" t="n"/>
      <c r="M16" s="124" t="n"/>
      <c r="N16" s="124" t="n"/>
      <c r="O16" s="124" t="n"/>
      <c r="P16" s="124" t="n"/>
      <c r="Q16" s="108">
        <f>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
      </c>
      <c r="R16" s="126" t="n"/>
      <c r="S16" s="127" t="inlineStr">
        <is>
          <t>Phụ thuộc TBD-01: đội di động chốt vị trí hiển thị và phiên bản áp dụng.</t>
        </is>
      </c>
    </row>
    <row r="17" outlineLevel="2">
      <c r="A17" s="101">
        <f>IF(AND(C17="",C17=""),"",$D$3&amp;"_"&amp;ROW()-12-COUNTBLANK($C$13:C17))</f>
        <v/>
      </c>
      <c r="B17" s="130" t="inlineStr">
        <is>
          <t>Kiểm tra định dạng ngày của hạn xử lý</t>
        </is>
      </c>
      <c r="C17" s="130" t="inlineStr">
        <is>
          <t>1. Mở chi tiết VB1
2. Quan sát giá trị hạn</t>
        </is>
      </c>
      <c r="D17" s="130" t="inlineStr">
        <is>
          <t>Hạn hiển thị dạng dd/MM/yyyy, không có giờ phút, giống Web.</t>
        </is>
      </c>
      <c r="E17" s="109" t="n"/>
      <c r="F17" s="125" t="n"/>
      <c r="G17" s="125" t="n"/>
      <c r="H17" s="109" t="n"/>
      <c r="I17" s="107" t="n"/>
      <c r="J17" s="107" t="n"/>
      <c r="K17" s="124" t="n"/>
      <c r="L17" s="124" t="n"/>
      <c r="M17" s="124" t="n"/>
      <c r="N17" s="124" t="n"/>
      <c r="O17" s="124" t="n"/>
      <c r="P17" s="124" t="n"/>
      <c r="Q17" s="108">
        <f>IF(OR(IF(G17="",IF(F17="",IF(E17="","",E17),F17),G17)="F",IF(J17="",IF(I17="",IF(H17="","",H17),I17),J17)="F",IF(M17="",IF(L17="",IF(K17="","",K17),L17),M17)="F",IF(P17="",IF(O17="",IF(N17="","",N17),O17),P17)="F")=TRUE,"F",IF(OR(IF(G17="",IF(F17="",IF(E17="","",E17),F17),G17)="PE",IF(J17="",IF(I17="",IF(H17="","",H17),I17),J17)="PE",IF(M17="",IF(L17="",IF(K17="","",K17),L17),M17)="PE",IF(P17="",IF(O17="",IF(N17="","",N17),O17),P17)="PE")=TRUE,"PE",IF(AND(IF(G17="",IF(F17="",IF(E17="","",E17),F17),G17)="",IF(J17="",IF(I17="",IF(H17="","",H17),I17),J17)="",IF(M17="",IF(L17="",IF(K17="","",K17),L17),M17)="",IF(P17="",IF(O17="",IF(N17="","",N17),O17),P17)="")=TRUE,"","P")))</f>
        <v/>
      </c>
      <c r="R17" s="126" t="n"/>
      <c r="S17" s="127" t="inlineStr">
        <is>
          <t>Phụ thuộc TBD-01: đội di động chốt vị trí hiển thị và phiên bản áp dụng.</t>
        </is>
      </c>
    </row>
    <row r="18" outlineLevel="3" ht="16.15" customFormat="1" customHeight="1" s="105">
      <c r="A18" s="101">
        <f>IF(AND(C18="",C18=""),"",$D$3&amp;"_"&amp;ROW()-12-COUNTBLANK($C$13:C18))</f>
        <v/>
      </c>
      <c r="B18" s="14" t="inlineStr">
        <is>
          <t>Chức năng (Phần này viết các trường hợp kiểm thử kiểm tra các ràng buộc trong cơ sở dữ liệu và cho các luồng nghiệp vụ trong tài liệu giải pháp, tích hợp với các chức năng khác)</t>
        </is>
      </c>
      <c r="C18" s="205" t="n"/>
      <c r="D18" s="205" t="n"/>
      <c r="E18" s="205" t="n"/>
      <c r="F18" s="205" t="n"/>
      <c r="G18" s="205" t="n"/>
      <c r="H18" s="205" t="n"/>
      <c r="I18" s="205" t="n"/>
      <c r="J18" s="205" t="n"/>
      <c r="K18" s="205" t="n"/>
      <c r="L18" s="205" t="n"/>
      <c r="M18" s="205" t="n"/>
      <c r="N18" s="205" t="n"/>
      <c r="O18" s="205" t="n"/>
      <c r="P18" s="205" t="n"/>
      <c r="Q18" s="206" t="n"/>
      <c r="R18" s="114" t="n"/>
      <c r="S18" s="115" t="n"/>
    </row>
    <row r="19" outlineLevel="3" ht="16.15" customFormat="1" customHeight="1" s="105">
      <c r="A19" s="101">
        <f>IF(AND(C19="",C19=""),"",$D$3&amp;"_"&amp;ROW()-12-COUNTBLANK($C$13:C19))</f>
        <v/>
      </c>
      <c r="B19" s="216" t="inlineStr">
        <is>
          <t>Hiển thị hạn xử lý</t>
        </is>
      </c>
      <c r="C19" s="205" t="n"/>
      <c r="D19" s="205" t="n"/>
      <c r="E19" s="205" t="n"/>
      <c r="F19" s="205" t="n"/>
      <c r="G19" s="205" t="n"/>
      <c r="H19" s="205" t="n"/>
      <c r="I19" s="205" t="n"/>
      <c r="J19" s="205" t="n"/>
      <c r="K19" s="205" t="n"/>
      <c r="L19" s="205" t="n"/>
      <c r="M19" s="205" t="n"/>
      <c r="N19" s="205" t="n"/>
      <c r="O19" s="205" t="n"/>
      <c r="P19" s="205" t="n"/>
      <c r="Q19" s="206" t="n"/>
      <c r="R19" s="110" t="n"/>
      <c r="S19" s="111" t="n"/>
    </row>
    <row r="20" outlineLevel="3" customFormat="1" s="105">
      <c r="A20" s="101">
        <f>IF(AND(C20="",C20=""),"",$D$3&amp;"_"&amp;ROW()-12-COUNTBLANK($C$13:C20))</f>
        <v/>
      </c>
      <c r="B20" s="130" t="inlineStr">
        <is>
          <t>Kiểm tra hạn của dòng nhận là cá nhân</t>
        </is>
      </c>
      <c r="C20" s="130" t="inlineStr">
        <is>
          <t>1. Mở chi tiết VB1 trên ứng dụng
2. Xem dòng của chuyên viên A</t>
        </is>
      </c>
      <c r="D20" s="130" t="inlineStr">
        <is>
          <t>Hiển thị đúng hạn đã nhập khi chuyển, trùng với giá trị hiển thị trên Web.</t>
        </is>
      </c>
      <c r="E20" s="109" t="n"/>
      <c r="F20" s="125" t="n"/>
      <c r="G20" s="125" t="n"/>
      <c r="H20" s="109" t="n"/>
      <c r="I20" s="107" t="n"/>
      <c r="J20" s="107" t="n"/>
      <c r="K20" s="124" t="n"/>
      <c r="L20" s="124" t="n"/>
      <c r="M20" s="124" t="n"/>
      <c r="N20" s="124" t="n"/>
      <c r="O20" s="124" t="n"/>
      <c r="P20" s="124" t="n"/>
      <c r="Q20" s="108">
        <f>IF(OR(IF(G20="",IF(F20="",IF(E20="","",E20),F20),G20)="F",IF(J20="",IF(I20="",IF(H20="","",H20),I20),J20)="F",IF(M20="",IF(L20="",IF(K20="","",K20),L20),M20)="F",IF(P20="",IF(O20="",IF(N20="","",N20),O20),P20)="F")=TRUE,"F",IF(OR(IF(G20="",IF(F20="",IF(E20="","",E20),F20),G20)="PE",IF(J20="",IF(I20="",IF(H20="","",H20),I20),J20)="PE",IF(M20="",IF(L20="",IF(K20="","",K20),L20),M20)="PE",IF(P20="",IF(O20="",IF(N20="","",N20),O20),P20)="PE")=TRUE,"PE",IF(AND(IF(G20="",IF(F20="",IF(E20="","",E20),F20),G20)="",IF(J20="",IF(I20="",IF(H20="","",H20),I20),J20)="",IF(M20="",IF(L20="",IF(K20="","",K20),L20),M20)="",IF(P20="",IF(O20="",IF(N20="","",N20),O20),P20)="")=TRUE,"","P")))</f>
        <v/>
      </c>
      <c r="R20" s="126" t="n"/>
      <c r="S20" s="127" t="inlineStr">
        <is>
          <t>Phụ thuộc TBD-01: đội di động chốt vị trí hiển thị và phiên bản áp dụng.</t>
        </is>
      </c>
    </row>
    <row r="21" outlineLevel="3" customFormat="1" s="105">
      <c r="A21" s="101">
        <f>IF(AND(C21="",C21=""),"",$D$3&amp;"_"&amp;ROW()-12-COUNTBLANK($C$13:C21))</f>
        <v/>
      </c>
      <c r="B21" s="130" t="inlineStr">
        <is>
          <t>Kiểm tra hạn của dòng nhận là đơn vị</t>
        </is>
      </c>
      <c r="C21" s="130" t="inlineStr">
        <is>
          <t>1. Mở chi tiết VB3 trên ứng dụng
2. Xem dòng của đơn vị nhận</t>
        </is>
      </c>
      <c r="D21" s="130" t="inlineStr">
        <is>
          <t>Hiển thị đúng hạn giao cho đơn vị đó, trùng với giá trị trên Web.</t>
        </is>
      </c>
      <c r="E21" s="109" t="n"/>
      <c r="F21" s="125" t="n"/>
      <c r="G21" s="125" t="n"/>
      <c r="H21" s="109" t="n"/>
      <c r="I21" s="107" t="n"/>
      <c r="J21" s="107" t="n"/>
      <c r="K21" s="124" t="n"/>
      <c r="L21" s="124" t="n"/>
      <c r="M21" s="124" t="n"/>
      <c r="N21" s="124" t="n"/>
      <c r="O21" s="124" t="n"/>
      <c r="P21" s="124" t="n"/>
      <c r="Q21" s="108">
        <f>IF(OR(IF(G21="",IF(F21="",IF(E21="","",E21),F21),G21)="F",IF(J21="",IF(I21="",IF(H21="","",H21),I21),J21)="F",IF(M21="",IF(L21="",IF(K21="","",K21),L21),M21)="F",IF(P21="",IF(O21="",IF(N21="","",N21),O21),P21)="F")=TRUE,"F",IF(OR(IF(G21="",IF(F21="",IF(E21="","",E21),F21),G21)="PE",IF(J21="",IF(I21="",IF(H21="","",H21),I21),J21)="PE",IF(M21="",IF(L21="",IF(K21="","",K21),L21),M21)="PE",IF(P21="",IF(O21="",IF(N21="","",N21),O21),P21)="PE")=TRUE,"PE",IF(AND(IF(G21="",IF(F21="",IF(E21="","",E21),F21),G21)="",IF(J21="",IF(I21="",IF(H21="","",H21),I21),J21)="",IF(M21="",IF(L21="",IF(K21="","",K21),L21),M21)="",IF(P21="",IF(O21="",IF(N21="","",N21),O21),P21)="")=TRUE,"","P")))</f>
        <v/>
      </c>
      <c r="R21" s="126" t="n"/>
      <c r="S21" s="127" t="inlineStr">
        <is>
          <t>Phụ thuộc TBD-01: đội di động chốt vị trí hiển thị và phiên bản áp dụng.</t>
        </is>
      </c>
    </row>
    <row r="22" outlineLevel="3" customFormat="1" s="105">
      <c r="A22" s="101">
        <f>IF(AND(C22="",C22=""),"",$D$3&amp;"_"&amp;ROW()-12-COUNTBLANK($C$13:C22))</f>
        <v/>
      </c>
      <c r="B22" s="130" t="inlineStr">
        <is>
          <t>Kiểm tra dòng không được giao hạn</t>
        </is>
      </c>
      <c r="C22" s="130" t="inlineStr">
        <is>
          <t>1. Mở chi tiết VB2 trên ứng dụng
2. Xem dòng đó</t>
        </is>
      </c>
      <c r="D22" s="130" t="inlineStr">
        <is>
          <t>Chỗ hiển thị hạn để trống, không hiện chữ thay thế, không hiện ngày mặc định.</t>
        </is>
      </c>
      <c r="E22" s="109" t="n"/>
      <c r="F22" s="125" t="n"/>
      <c r="G22" s="125" t="n"/>
      <c r="H22" s="109" t="n"/>
      <c r="I22" s="107" t="n"/>
      <c r="J22" s="107" t="n"/>
      <c r="K22" s="124" t="n"/>
      <c r="L22" s="124" t="n"/>
      <c r="M22" s="124" t="n"/>
      <c r="N22" s="124" t="n"/>
      <c r="O22" s="124" t="n"/>
      <c r="P22" s="124" t="n"/>
      <c r="Q22" s="108">
        <f>IF(OR(IF(G22="",IF(F22="",IF(E22="","",E22),F22),G22)="F",IF(J22="",IF(I22="",IF(H22="","",H22),I22),J22)="F",IF(M22="",IF(L22="",IF(K22="","",K22),L22),M22)="F",IF(P22="",IF(O22="",IF(N22="","",N22),O22),P22)="F")=TRUE,"F",IF(OR(IF(G22="",IF(F22="",IF(E22="","",E22),F22),G22)="PE",IF(J22="",IF(I22="",IF(H22="","",H22),I22),J22)="PE",IF(M22="",IF(L22="",IF(K22="","",K22),L22),M22)="PE",IF(P22="",IF(O22="",IF(N22="","",N22),O22),P22)="PE")=TRUE,"PE",IF(AND(IF(G22="",IF(F22="",IF(E22="","",E22),F22),G22)="",IF(J22="",IF(I22="",IF(H22="","",H22),I22),J22)="",IF(M22="",IF(L22="",IF(K22="","",K22),L22),M22)="",IF(P22="",IF(O22="",IF(N22="","",N22),O22),P22)="")=TRUE,"","P")))</f>
        <v/>
      </c>
      <c r="R22" s="126" t="n"/>
      <c r="S22" s="127" t="inlineStr">
        <is>
          <t>Phụ thuộc TBD-01: đội di động chốt vị trí hiển thị và phiên bản áp dụng.</t>
        </is>
      </c>
    </row>
    <row r="23" outlineLevel="3" customFormat="1" s="105">
      <c r="A23" s="101">
        <f>IF(AND(C23="",C23=""),"",$D$3&amp;"_"&amp;ROW()-12-COUNTBLANK($C$13:C23))</f>
        <v/>
      </c>
      <c r="B23" s="130" t="inlineStr">
        <is>
          <t>Kiểm tra văn bản chuyển nhiều lần với nhiều hạn khác nhau</t>
        </is>
      </c>
      <c r="C23" s="130" t="inlineStr">
        <is>
          <t>1. Mở chi tiết VB3 trên ứng dụng
2. So sánh hạn giữa các dòng</t>
        </is>
      </c>
      <c r="D23" s="130" t="inlineStr">
        <is>
          <t>Mỗi dòng giữ hạn riêng, giống kết quả trên Web.</t>
        </is>
      </c>
      <c r="E23" s="109" t="n"/>
      <c r="F23" s="125" t="n"/>
      <c r="G23" s="125" t="n"/>
      <c r="H23" s="109" t="n"/>
      <c r="I23" s="107" t="n"/>
      <c r="J23" s="107" t="n"/>
      <c r="K23" s="124" t="n"/>
      <c r="L23" s="124" t="n"/>
      <c r="M23" s="124" t="n"/>
      <c r="N23" s="124" t="n"/>
      <c r="O23" s="124" t="n"/>
      <c r="P23" s="124" t="n"/>
      <c r="Q23" s="108">
        <f>IF(OR(IF(G23="",IF(F23="",IF(E23="","",E23),F23),G23)="F",IF(J23="",IF(I23="",IF(H23="","",H23),I23),J23)="F",IF(M23="",IF(L23="",IF(K23="","",K23),L23),M23)="F",IF(P23="",IF(O23="",IF(N23="","",N23),O23),P23)="F")=TRUE,"F",IF(OR(IF(G23="",IF(F23="",IF(E23="","",E23),F23),G23)="PE",IF(J23="",IF(I23="",IF(H23="","",H23),I23),J23)="PE",IF(M23="",IF(L23="",IF(K23="","",K23),L23),M23)="PE",IF(P23="",IF(O23="",IF(N23="","",N23),O23),P23)="PE")=TRUE,"PE",IF(AND(IF(G23="",IF(F23="",IF(E23="","",E23),F23),G23)="",IF(J23="",IF(I23="",IF(H23="","",H23),I23),J23)="",IF(M23="",IF(L23="",IF(K23="","",K23),L23),M23)="",IF(P23="",IF(O23="",IF(N23="","",N23),O23),P23)="")=TRUE,"","P")))</f>
        <v/>
      </c>
      <c r="R23" s="126" t="n"/>
      <c r="S23" s="127" t="inlineStr">
        <is>
          <t>Phụ thuộc TBD-01: đội di động chốt vị trí hiển thị và phiên bản áp dụng.</t>
        </is>
      </c>
    </row>
    <row r="24" outlineLevel="3" customFormat="1" s="105">
      <c r="A24" s="101">
        <f>IF(AND(C24="",C24=""),"",$D$3&amp;"_"&amp;ROW()-12-COUNTBLANK($C$13:C24))</f>
        <v/>
      </c>
      <c r="B24" s="130" t="inlineStr">
        <is>
          <t>Kiểm tra văn bản đã ban hành</t>
        </is>
      </c>
      <c r="C24" s="130" t="inlineStr">
        <is>
          <t>1. Mở chi tiết VB5 trên ứng dụng
2. Xem mục Người cùng nhận</t>
        </is>
      </c>
      <c r="D24" s="130" t="inlineStr">
        <is>
          <t>Mục vẫn hiển thị, phần hạn để trống, không lỗi hiển thị.</t>
        </is>
      </c>
      <c r="E24" s="109" t="n"/>
      <c r="F24" s="125" t="n"/>
      <c r="G24" s="125" t="n"/>
      <c r="H24" s="109" t="n"/>
      <c r="I24" s="107" t="n"/>
      <c r="J24" s="107" t="n"/>
      <c r="K24" s="124" t="n"/>
      <c r="L24" s="124" t="n"/>
      <c r="M24" s="124" t="n"/>
      <c r="N24" s="124" t="n"/>
      <c r="O24" s="124" t="n"/>
      <c r="P24" s="124" t="n"/>
      <c r="Q24" s="108">
        <f>IF(OR(IF(G24="",IF(F24="",IF(E24="","",E24),F24),G24)="F",IF(J24="",IF(I24="",IF(H24="","",H24),I24),J24)="F",IF(M24="",IF(L24="",IF(K24="","",K24),L24),M24)="F",IF(P24="",IF(O24="",IF(N24="","",N24),O24),P24)="F")=TRUE,"F",IF(OR(IF(G24="",IF(F24="",IF(E24="","",E24),F24),G24)="PE",IF(J24="",IF(I24="",IF(H24="","",H24),I24),J24)="PE",IF(M24="",IF(L24="",IF(K24="","",K24),L24),M24)="PE",IF(P24="",IF(O24="",IF(N24="","",N24),O24),P24)="PE")=TRUE,"PE",IF(AND(IF(G24="",IF(F24="",IF(E24="","",E24),F24),G24)="",IF(J24="",IF(I24="",IF(H24="","",H24),I24),J24)="",IF(M24="",IF(L24="",IF(K24="","",K24),L24),M24)="",IF(P24="",IF(O24="",IF(N24="","",N24),O24),P24)="")=TRUE,"","P")))</f>
        <v/>
      </c>
      <c r="R24" s="126" t="n"/>
      <c r="S24" s="127" t="inlineStr">
        <is>
          <t>Phụ thuộc TBD-01: đội di động chốt vị trí hiển thị và phiên bản áp dụng.</t>
        </is>
      </c>
    </row>
    <row r="25" outlineLevel="2">
      <c r="A25" s="101">
        <f>IF(AND(C25="",C25=""),"",$D$3&amp;"_"&amp;ROW()-12-COUNTBLANK($C$13:C25))</f>
        <v/>
      </c>
      <c r="B25" s="130" t="inlineStr">
        <is>
          <t>Kiểm tra theo vai trò người xem</t>
        </is>
      </c>
      <c r="C25" s="130" t="inlineStr">
        <is>
          <t>1. Lần lượt đăng nhập tài khoản văn thư, lãnh đạo, chuyên viên
2. Mở chi tiết VB1</t>
        </is>
      </c>
      <c r="D25" s="130" t="inlineStr">
        <is>
          <t>Cả ba vai trò đều thấy hạn xử lý với giá trị giống nhau.</t>
        </is>
      </c>
      <c r="E25" s="109" t="n"/>
      <c r="F25" s="125" t="n"/>
      <c r="G25" s="125" t="n"/>
      <c r="H25" s="109" t="n"/>
      <c r="I25" s="107" t="n"/>
      <c r="J25" s="107" t="n"/>
      <c r="K25" s="124" t="n"/>
      <c r="L25" s="124" t="n"/>
      <c r="M25" s="124" t="n"/>
      <c r="N25" s="124" t="n"/>
      <c r="O25" s="124" t="n"/>
      <c r="P25" s="124" t="n"/>
      <c r="Q25" s="108">
        <f>IF(OR(IF(G25="",IF(F25="",IF(E25="","",E25),F25),G25)="F",IF(J25="",IF(I25="",IF(H25="","",H25),I25),J25)="F",IF(M25="",IF(L25="",IF(K25="","",K25),L25),M25)="F",IF(P25="",IF(O25="",IF(N25="","",N25),O25),P25)="F")=TRUE,"F",IF(OR(IF(G25="",IF(F25="",IF(E25="","",E25),F25),G25)="PE",IF(J25="",IF(I25="",IF(H25="","",H25),I25),J25)="PE",IF(M25="",IF(L25="",IF(K25="","",K25),L25),M25)="PE",IF(P25="",IF(O25="",IF(N25="","",N25),O25),P25)="PE")=TRUE,"PE",IF(AND(IF(G25="",IF(F25="",IF(E25="","",E25),F25),G25)="",IF(J25="",IF(I25="",IF(H25="","",H25),I25),J25)="",IF(M25="",IF(L25="",IF(K25="","",K25),L25),M25)="",IF(P25="",IF(O25="",IF(N25="","",N25),O25),P25)="")=TRUE,"","P")))</f>
        <v/>
      </c>
      <c r="R25" s="126" t="n"/>
      <c r="S25" s="127" t="inlineStr">
        <is>
          <t>Phụ thuộc TBD-01: đội di động chốt vị trí hiển thị và phiên bản áp dụng.</t>
        </is>
      </c>
    </row>
    <row r="26" outlineLevel="3" ht="16.15" customFormat="1" customHeight="1" s="105">
      <c r="A26" s="101">
        <f>IF(AND(C26="",C26=""),"",$D$3&amp;"_"&amp;ROW()-12-COUNTBLANK($C$13:C26))</f>
        <v/>
      </c>
      <c r="B26" s="14" t="inlineStr">
        <is>
          <t>An toàn thông tin (Các trường hợp kiểm thử đảm bảo an toàn thông tin theo hướng dẫn kiểm thử an toàn thông tin)</t>
        </is>
      </c>
      <c r="C26" s="205" t="n"/>
      <c r="D26" s="205" t="n"/>
      <c r="E26" s="205" t="n"/>
      <c r="F26" s="205" t="n"/>
      <c r="G26" s="205" t="n"/>
      <c r="H26" s="205" t="n"/>
      <c r="I26" s="205" t="n"/>
      <c r="J26" s="205" t="n"/>
      <c r="K26" s="205" t="n"/>
      <c r="L26" s="205" t="n"/>
      <c r="M26" s="205" t="n"/>
      <c r="N26" s="205" t="n"/>
      <c r="O26" s="205" t="n"/>
      <c r="P26" s="205" t="n"/>
      <c r="Q26" s="206" t="n"/>
      <c r="R26" s="114" t="n"/>
      <c r="S26" s="115" t="n"/>
    </row>
    <row r="27" outlineLevel="3" customFormat="1" s="105">
      <c r="A27" s="101">
        <f>IF(AND(C27="",C27=""),"",$D$3&amp;"_"&amp;ROW()-12-COUNTBLANK($C$13:C27))</f>
        <v/>
      </c>
      <c r="B27" s="130" t="inlineStr">
        <is>
          <t>N/A - Chỉ bổ sung một thông tin hiển thị chỉ đọc, không thêm ô nhập liệu trên ứng dụng.</t>
        </is>
      </c>
      <c r="C27" s="205" t="n"/>
      <c r="D27" s="205" t="n"/>
      <c r="E27" s="205" t="n"/>
      <c r="F27" s="205" t="n"/>
      <c r="G27" s="205" t="n"/>
      <c r="H27" s="205" t="n"/>
      <c r="I27" s="205" t="n"/>
      <c r="J27" s="205" t="n"/>
      <c r="K27" s="205" t="n"/>
      <c r="L27" s="205" t="n"/>
      <c r="M27" s="205" t="n"/>
      <c r="N27" s="205" t="n"/>
      <c r="O27" s="205" t="n"/>
      <c r="P27" s="205" t="n"/>
      <c r="Q27" s="206" t="n"/>
      <c r="R27" s="126" t="n"/>
      <c r="S27" s="127" t="n"/>
    </row>
    <row r="28" outlineLevel="3" ht="16.15" customFormat="1" customHeight="1" s="105">
      <c r="A28" s="101">
        <f>IF(AND(C28="",C28=""),"",$D$3&amp;"_"&amp;ROW()-12-COUNTBLANK($C$13:C28))</f>
        <v/>
      </c>
      <c r="B28" s="14" t="inlineStr">
        <is>
          <t>Kiểm tra ảnh hưởng (Các trường hợp kiểm thử ảnh hưởng từ chức năng)</t>
        </is>
      </c>
      <c r="C28" s="205" t="n"/>
      <c r="D28" s="205" t="n"/>
      <c r="E28" s="205" t="n"/>
      <c r="F28" s="205" t="n"/>
      <c r="G28" s="205" t="n"/>
      <c r="H28" s="205" t="n"/>
      <c r="I28" s="205" t="n"/>
      <c r="J28" s="205" t="n"/>
      <c r="K28" s="205" t="n"/>
      <c r="L28" s="205" t="n"/>
      <c r="M28" s="205" t="n"/>
      <c r="N28" s="205" t="n"/>
      <c r="O28" s="205" t="n"/>
      <c r="P28" s="205" t="n"/>
      <c r="Q28" s="206" t="n"/>
      <c r="R28" s="114" t="n"/>
      <c r="S28" s="115" t="n"/>
    </row>
    <row r="29" outlineLevel="3" customFormat="1" s="105">
      <c r="A29" s="101">
        <f>IF(AND(C29="",C29=""),"",$D$3&amp;"_"&amp;ROW()-12-COUNTBLANK($C$13:C29))</f>
        <v/>
      </c>
      <c r="B29" s="130" t="inlineStr">
        <is>
          <t>Kiểm tra tương thích với bản ứng dụng cũ</t>
        </is>
      </c>
      <c r="C29" s="130" t="inlineStr">
        <is>
          <t>1. Dùng bản ứng dụng hiện hành chưa cập nhật
2. Mở chi tiết văn bản VB1 và VB3</t>
        </is>
      </c>
      <c r="D29" s="130" t="inlineStr">
        <is>
          <t>Ứng dụng mở chi tiết văn bản bình thường, không văng, không báo lỗi.
Chỉ không hiển thị hạn xử lý, các thông tin khác đầy đủ như trước.</t>
        </is>
      </c>
      <c r="E29" s="109" t="n"/>
      <c r="F29" s="125" t="n"/>
      <c r="G29" s="125" t="n"/>
      <c r="H29" s="109" t="n"/>
      <c r="I29" s="107" t="n"/>
      <c r="J29" s="107" t="n"/>
      <c r="K29" s="124" t="n"/>
      <c r="L29" s="124" t="n"/>
      <c r="M29" s="124" t="n"/>
      <c r="N29" s="124" t="n"/>
      <c r="O29" s="124" t="n"/>
      <c r="P29" s="124" t="n"/>
      <c r="Q29" s="108">
        <f>IF(OR(IF(G29="",IF(F29="",IF(E29="","",E29),F29),G29)="F",IF(J29="",IF(I29="",IF(H29="","",H29),I29),J29)="F",IF(M29="",IF(L29="",IF(K29="","",K29),L29),M29)="F",IF(P29="",IF(O29="",IF(N29="","",N29),O29),P29)="F")=TRUE,"F",IF(OR(IF(G29="",IF(F29="",IF(E29="","",E29),F29),G29)="PE",IF(J29="",IF(I29="",IF(H29="","",H29),I29),J29)="PE",IF(M29="",IF(L29="",IF(K29="","",K29),L29),M29)="PE",IF(P29="",IF(O29="",IF(N29="","",N29),O29),P29)="PE")=TRUE,"PE",IF(AND(IF(G29="",IF(F29="",IF(E29="","",E29),F29),G29)="",IF(J29="",IF(I29="",IF(H29="","",H29),I29),J29)="",IF(M29="",IF(L29="",IF(K29="","",K29),L29),M29)="",IF(P29="",IF(O29="",IF(N29="","",N29),O29),P29)="")=TRUE,"","P")))</f>
        <v/>
      </c>
      <c r="R29" s="126" t="n"/>
      <c r="S29" s="127" t="inlineStr">
        <is>
          <t>Phụ thuộc TBD-01: đội di động chốt vị trí hiển thị và phiên bản áp dụng.</t>
        </is>
      </c>
    </row>
    <row r="30" outlineLevel="1" customFormat="1" s="122">
      <c r="A30" s="101">
        <f>IF(AND(C30="",C30=""),"",$D$3&amp;"_"&amp;ROW()-12-COUNTBLANK($C$13:C30))</f>
        <v/>
      </c>
      <c r="B30" s="130" t="inlineStr">
        <is>
          <t>Kiểm tra các đường mở chi tiết văn bản trên ứng dụng</t>
        </is>
      </c>
      <c r="C30" s="130" t="inlineStr">
        <is>
          <t>1. Mở từ danh sách văn bản đến
2. Mở từ thông báo đẩy
3. Mở từ trang chủ</t>
        </is>
      </c>
      <c r="D30" s="130" t="inlineStr">
        <is>
          <t>Cả ba đường vào đều mở được chi tiết, mục Người cùng nhận hiển thị đúng, không lỗi.</t>
        </is>
      </c>
      <c r="E30" s="109" t="n"/>
      <c r="F30" s="125" t="n"/>
      <c r="G30" s="125" t="n"/>
      <c r="H30" s="109" t="n"/>
      <c r="I30" s="107" t="n"/>
      <c r="J30" s="107" t="n"/>
      <c r="K30" s="124" t="n"/>
      <c r="L30" s="124" t="n"/>
      <c r="M30" s="124" t="n"/>
      <c r="N30" s="124" t="n"/>
      <c r="O30" s="124" t="n"/>
      <c r="P30" s="124" t="n"/>
      <c r="Q30" s="108">
        <f>IF(OR(IF(G30="",IF(F30="",IF(E30="","",E30),F30),G30)="F",IF(J30="",IF(I30="",IF(H30="","",H30),I30),J30)="F",IF(M30="",IF(L30="",IF(K30="","",K30),L30),M30)="F",IF(P30="",IF(O30="",IF(N30="","",N30),O30),P30)="F")=TRUE,"F",IF(OR(IF(G30="",IF(F30="",IF(E30="","",E30),F30),G30)="PE",IF(J30="",IF(I30="",IF(H30="","",H30),I30),J30)="PE",IF(M30="",IF(L30="",IF(K30="","",K30),L30),M30)="PE",IF(P30="",IF(O30="",IF(N30="","",N30),O30),P30)="PE")=TRUE,"PE",IF(AND(IF(G30="",IF(F30="",IF(E30="","",E30),F30),G30)="",IF(J30="",IF(I30="",IF(H30="","",H30),I30),J30)="",IF(M30="",IF(L30="",IF(K30="","",K30),L30),M30)="",IF(P30="",IF(O30="",IF(N30="","",N30),O30),P30)="")=TRUE,"","P")))</f>
        <v/>
      </c>
      <c r="R30" s="126" t="n"/>
      <c r="S30" s="127" t="inlineStr">
        <is>
          <t>Phụ thuộc TBD-01: đội di động chốt vị trí hiển thị và phiên bản áp dụng.</t>
        </is>
      </c>
    </row>
    <row r="31" outlineLevel="2"/>
    <row r="32" outlineLevel="1" customFormat="1" s="122"/>
    <row r="33" outlineLevel="2"/>
    <row r="34" customFormat="1" s="96"/>
    <row r="35" customFormat="1" s="96"/>
    <row r="43" customFormat="1" s="96"/>
    <row r="44" customFormat="1" s="96"/>
    <row r="51" customFormat="1" s="96"/>
    <row r="52" customFormat="1" s="96"/>
    <row r="53" customFormat="1" s="96"/>
  </sheetData>
  <mergeCells count="20">
    <mergeCell ref="E10:G10"/>
    <mergeCell ref="B28:Q28"/>
    <mergeCell ref="B13:D13"/>
    <mergeCell ref="C10:C11"/>
    <mergeCell ref="B12:C12"/>
    <mergeCell ref="Q10:Q11"/>
    <mergeCell ref="S10:S11"/>
    <mergeCell ref="C1:D1"/>
    <mergeCell ref="N10:P10"/>
    <mergeCell ref="B26:Q26"/>
    <mergeCell ref="B10:B11"/>
    <mergeCell ref="K10:M10"/>
    <mergeCell ref="B18:Q18"/>
    <mergeCell ref="B27:Q27"/>
    <mergeCell ref="A10:A11"/>
    <mergeCell ref="H10:J10"/>
    <mergeCell ref="D10:D11"/>
    <mergeCell ref="B14:Q14"/>
    <mergeCell ref="R10:R11"/>
    <mergeCell ref="B19:Q19"/>
  </mergeCells>
  <conditionalFormatting sqref="C15:D15 C19:D21 C23:D23 F15:G15 F19:G24 K15:P15 K19:P24">
    <cfRule type="cellIs" priority="94" operator="equal" dxfId="2">
      <formula>"P"</formula>
    </cfRule>
    <cfRule type="cellIs" priority="95" operator="equal" dxfId="1" stopIfTrue="1">
      <formula>"F"</formula>
    </cfRule>
    <cfRule type="cellIs" priority="96" operator="equal" dxfId="0" stopIfTrue="1">
      <formula>"PE"</formula>
    </cfRule>
  </conditionalFormatting>
  <conditionalFormatting sqref="E15 E19:E24">
    <cfRule type="cellIs" priority="91" operator="equal" stopIfTrue="1">
      <formula>"P"</formula>
    </cfRule>
    <cfRule type="cellIs" priority="92" operator="equal" dxfId="4" stopIfTrue="1">
      <formula>"F"</formula>
    </cfRule>
    <cfRule type="cellIs" priority="93" operator="equal" dxfId="3" stopIfTrue="1">
      <formula>"PE"</formula>
    </cfRule>
  </conditionalFormatting>
  <conditionalFormatting sqref="E1:Q11 K12:Q12">
    <cfRule type="cellIs" priority="113" operator="equal" dxfId="60" stopIfTrue="1">
      <formula>"P"</formula>
    </cfRule>
    <cfRule type="cellIs" priority="114" operator="equal" dxfId="1" stopIfTrue="1">
      <formula>"F"</formula>
    </cfRule>
    <cfRule type="cellIs" priority="115" operator="equal" dxfId="0" stopIfTrue="1">
      <formula>"PE"</formula>
    </cfRule>
  </conditionalFormatting>
  <conditionalFormatting sqref="D18 F18:G18 K18:P18">
    <cfRule type="cellIs" priority="88" operator="equal" dxfId="2">
      <formula>"P"</formula>
    </cfRule>
    <cfRule type="cellIs" priority="89" operator="equal" dxfId="1" stopIfTrue="1">
      <formula>"F"</formula>
    </cfRule>
    <cfRule type="cellIs" priority="90" operator="equal" dxfId="0" stopIfTrue="1">
      <formula>"PE"</formula>
    </cfRule>
  </conditionalFormatting>
  <conditionalFormatting sqref="E18">
    <cfRule type="cellIs" priority="85" operator="equal" stopIfTrue="1">
      <formula>"P"</formula>
    </cfRule>
    <cfRule type="cellIs" priority="86" operator="equal" dxfId="4" stopIfTrue="1">
      <formula>"F"</formula>
    </cfRule>
    <cfRule type="cellIs" priority="87" operator="equal" dxfId="3" stopIfTrue="1">
      <formula>"PE"</formula>
    </cfRule>
  </conditionalFormatting>
  <conditionalFormatting sqref="C18">
    <cfRule type="cellIs" priority="82" operator="equal" dxfId="2">
      <formula>"P"</formula>
    </cfRule>
    <cfRule type="cellIs" priority="83" operator="equal" dxfId="1" stopIfTrue="1">
      <formula>"F"</formula>
    </cfRule>
    <cfRule type="cellIs" priority="84" operator="equal" dxfId="0" stopIfTrue="1">
      <formula>"PE"</formula>
    </cfRule>
  </conditionalFormatting>
  <conditionalFormatting sqref="C22:D22">
    <cfRule type="cellIs" priority="79" operator="equal" dxfId="2">
      <formula>"P"</formula>
    </cfRule>
    <cfRule type="cellIs" priority="80" operator="equal" dxfId="1" stopIfTrue="1">
      <formula>"F"</formula>
    </cfRule>
    <cfRule type="cellIs" priority="81" operator="equal" dxfId="0" stopIfTrue="1">
      <formula>"PE"</formula>
    </cfRule>
  </conditionalFormatting>
  <conditionalFormatting sqref="C24:D24">
    <cfRule type="cellIs" priority="76" operator="equal" dxfId="2">
      <formula>"P"</formula>
    </cfRule>
    <cfRule type="cellIs" priority="77" operator="equal" dxfId="1" stopIfTrue="1">
      <formula>"F"</formula>
    </cfRule>
    <cfRule type="cellIs" priority="78" operator="equal" dxfId="0" stopIfTrue="1">
      <formula>"PE"</formula>
    </cfRule>
  </conditionalFormatting>
  <conditionalFormatting sqref="D26 F26:G26 K26:P26">
    <cfRule type="cellIs" priority="64" operator="equal" dxfId="2">
      <formula>"P"</formula>
    </cfRule>
    <cfRule type="cellIs" priority="65" operator="equal" dxfId="1" stopIfTrue="1">
      <formula>"F"</formula>
    </cfRule>
    <cfRule type="cellIs" priority="66" operator="equal" dxfId="0" stopIfTrue="1">
      <formula>"PE"</formula>
    </cfRule>
  </conditionalFormatting>
  <conditionalFormatting sqref="E26">
    <cfRule type="cellIs" priority="61" operator="equal" stopIfTrue="1">
      <formula>"P"</formula>
    </cfRule>
    <cfRule type="cellIs" priority="62" operator="equal" dxfId="4" stopIfTrue="1">
      <formula>"F"</formula>
    </cfRule>
    <cfRule type="cellIs" priority="63" operator="equal" dxfId="3" stopIfTrue="1">
      <formula>"PE"</formula>
    </cfRule>
  </conditionalFormatting>
  <conditionalFormatting sqref="C26">
    <cfRule type="cellIs" priority="58" operator="equal" dxfId="2">
      <formula>"P"</formula>
    </cfRule>
    <cfRule type="cellIs" priority="59" operator="equal" dxfId="1" stopIfTrue="1">
      <formula>"F"</formula>
    </cfRule>
    <cfRule type="cellIs" priority="60" operator="equal" dxfId="0" stopIfTrue="1">
      <formula>"PE"</formula>
    </cfRule>
  </conditionalFormatting>
  <conditionalFormatting sqref="C27:D27 F27:G27 K27:P27">
    <cfRule type="cellIs" priority="55" operator="equal" dxfId="2">
      <formula>"P"</formula>
    </cfRule>
    <cfRule type="cellIs" priority="56" operator="equal" dxfId="1" stopIfTrue="1">
      <formula>"F"</formula>
    </cfRule>
    <cfRule type="cellIs" priority="57" operator="equal" dxfId="0" stopIfTrue="1">
      <formula>"PE"</formula>
    </cfRule>
  </conditionalFormatting>
  <conditionalFormatting sqref="E27">
    <cfRule type="cellIs" priority="52" operator="equal" stopIfTrue="1">
      <formula>"P"</formula>
    </cfRule>
    <cfRule type="cellIs" priority="53" operator="equal" dxfId="4" stopIfTrue="1">
      <formula>"F"</formula>
    </cfRule>
    <cfRule type="cellIs" priority="54" operator="equal" dxfId="3" stopIfTrue="1">
      <formula>"PE"</formula>
    </cfRule>
  </conditionalFormatting>
  <conditionalFormatting sqref="F28:G28 K28:P28">
    <cfRule type="cellIs" priority="49" operator="equal" dxfId="2">
      <formula>"P"</formula>
    </cfRule>
    <cfRule type="cellIs" priority="50" operator="equal" dxfId="1" stopIfTrue="1">
      <formula>"F"</formula>
    </cfRule>
    <cfRule type="cellIs" priority="51" operator="equal" dxfId="0" stopIfTrue="1">
      <formula>"PE"</formula>
    </cfRule>
  </conditionalFormatting>
  <conditionalFormatting sqref="E28">
    <cfRule type="cellIs" priority="46" operator="equal" stopIfTrue="1">
      <formula>"P"</formula>
    </cfRule>
    <cfRule type="cellIs" priority="47" operator="equal" dxfId="4" stopIfTrue="1">
      <formula>"F"</formula>
    </cfRule>
    <cfRule type="cellIs" priority="48" operator="equal" dxfId="3" stopIfTrue="1">
      <formula>"PE"</formula>
    </cfRule>
  </conditionalFormatting>
  <conditionalFormatting sqref="C28:D28">
    <cfRule type="cellIs" priority="43" operator="equal" dxfId="2">
      <formula>"P"</formula>
    </cfRule>
    <cfRule type="cellIs" priority="44" operator="equal" dxfId="1" stopIfTrue="1">
      <formula>"F"</formula>
    </cfRule>
    <cfRule type="cellIs" priority="45" operator="equal" dxfId="0" stopIfTrue="1">
      <formula>"PE"</formula>
    </cfRule>
  </conditionalFormatting>
  <conditionalFormatting sqref="F29:G29 K29:P29">
    <cfRule type="cellIs" priority="40" operator="equal" dxfId="2">
      <formula>"P"</formula>
    </cfRule>
    <cfRule type="cellIs" priority="41" operator="equal" dxfId="1" stopIfTrue="1">
      <formula>"F"</formula>
    </cfRule>
    <cfRule type="cellIs" priority="42" operator="equal" dxfId="0" stopIfTrue="1">
      <formula>"PE"</formula>
    </cfRule>
  </conditionalFormatting>
  <conditionalFormatting sqref="E29">
    <cfRule type="cellIs" priority="37" operator="equal" stopIfTrue="1">
      <formula>"P"</formula>
    </cfRule>
    <cfRule type="cellIs" priority="38" operator="equal" dxfId="4" stopIfTrue="1">
      <formula>"F"</formula>
    </cfRule>
    <cfRule type="cellIs" priority="39" operator="equal" dxfId="3" stopIfTrue="1">
      <formula>"PE"</formula>
    </cfRule>
  </conditionalFormatting>
  <conditionalFormatting sqref="C29:D29">
    <cfRule type="cellIs" priority="34" operator="equal" dxfId="2">
      <formula>"P"</formula>
    </cfRule>
    <cfRule type="cellIs" priority="35" operator="equal" dxfId="1" stopIfTrue="1">
      <formula>"F"</formula>
    </cfRule>
    <cfRule type="cellIs" priority="36" operator="equal" dxfId="0" stopIfTrue="1">
      <formula>"PE"</formula>
    </cfRule>
  </conditionalFormatting>
  <conditionalFormatting sqref="H26:H29">
    <cfRule type="cellIs" priority="1" operator="equal" stopIfTrue="1">
      <formula>"P"</formula>
    </cfRule>
    <cfRule type="cellIs" priority="2" operator="equal" dxfId="4" stopIfTrue="1">
      <formula>"F"</formula>
    </cfRule>
    <cfRule type="cellIs" priority="3" operator="equal" dxfId="3" stopIfTrue="1">
      <formula>"PE"</formula>
    </cfRule>
  </conditionalFormatting>
  <conditionalFormatting sqref="I15:J15">
    <cfRule type="cellIs" priority="16" operator="equal" dxfId="2">
      <formula>"P"</formula>
    </cfRule>
    <cfRule type="cellIs" priority="17" operator="equal" dxfId="1" stopIfTrue="1">
      <formula>"F"</formula>
    </cfRule>
    <cfRule type="cellIs" priority="18" operator="equal" dxfId="0" stopIfTrue="1">
      <formula>"PE"</formula>
    </cfRule>
  </conditionalFormatting>
  <conditionalFormatting sqref="H15">
    <cfRule type="cellIs" priority="13" operator="equal" stopIfTrue="1">
      <formula>"P"</formula>
    </cfRule>
    <cfRule type="cellIs" priority="14" operator="equal" dxfId="4" stopIfTrue="1">
      <formula>"F"</formula>
    </cfRule>
    <cfRule type="cellIs" priority="15" operator="equal" dxfId="3" stopIfTrue="1">
      <formula>"PE"</formula>
    </cfRule>
  </conditionalFormatting>
  <conditionalFormatting sqref="I18:J24">
    <cfRule type="cellIs" priority="10" operator="equal" dxfId="2">
      <formula>"P"</formula>
    </cfRule>
    <cfRule type="cellIs" priority="11" operator="equal" dxfId="1" stopIfTrue="1">
      <formula>"F"</formula>
    </cfRule>
    <cfRule type="cellIs" priority="12" operator="equal" dxfId="0" stopIfTrue="1">
      <formula>"PE"</formula>
    </cfRule>
  </conditionalFormatting>
  <conditionalFormatting sqref="H18:H24">
    <cfRule type="cellIs" priority="7" operator="equal" stopIfTrue="1">
      <formula>"P"</formula>
    </cfRule>
    <cfRule type="cellIs" priority="8" operator="equal" dxfId="4" stopIfTrue="1">
      <formula>"F"</formula>
    </cfRule>
    <cfRule type="cellIs" priority="9" operator="equal" dxfId="3" stopIfTrue="1">
      <formula>"PE"</formula>
    </cfRule>
  </conditionalFormatting>
  <conditionalFormatting sqref="I26:J29">
    <cfRule type="cellIs" priority="4" operator="equal" dxfId="2">
      <formula>"P"</formula>
    </cfRule>
    <cfRule type="cellIs" priority="5" operator="equal" dxfId="1" stopIfTrue="1">
      <formula>"F"</formula>
    </cfRule>
    <cfRule type="cellIs" priority="6" operator="equal" dxfId="0" stopIfTrue="1">
      <formula>"PE"</formula>
    </cfRule>
  </conditionalFormatting>
  <dataValidations count="1">
    <dataValidation sqref="E15 E18:E24 E26:E29 H15 H18:H24 H26:H29" showDropDown="0" showInputMessage="1" showErrorMessage="1" allowBlank="1" type="list">
      <formula1>"P,F,PE"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NGUYỄN QUỲNH ANH</dc:creator>
  <dcterms:created xsi:type="dcterms:W3CDTF">2026-02-27T10:01:50Z</dcterms:created>
  <dcterms:modified xsi:type="dcterms:W3CDTF">2026-10-08T04:23:54Z</dcterms:modified>
  <cp:lastModifiedBy>Tuyen Luong</cp:lastModifiedBy>
</cp:coreProperties>
</file>