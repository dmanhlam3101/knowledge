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A:\Tháng 10\"/>
    </mc:Choice>
  </mc:AlternateContent>
  <bookViews>
    <workbookView xWindow="0" yWindow="0" windowWidth="28800" windowHeight="12330" activeTab="4"/>
  </bookViews>
  <sheets>
    <sheet name="Trang bìa" sheetId="2" r:id="rId1"/>
    <sheet name="Giới thiệu" sheetId="3" r:id="rId2"/>
    <sheet name="Tổng hợp" sheetId="4" r:id="rId3"/>
    <sheet name="YC02_Web" sheetId="1" r:id="rId4"/>
    <sheet name="YC02_App" sheetId="5" r:id="rId5"/>
  </sheets>
  <definedNames>
    <definedName name="_xlnm.Print_Area" localSheetId="3">YC02_Web!$V$13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6" i="5" l="1"/>
  <c r="A17" i="5"/>
  <c r="A18" i="5"/>
  <c r="A19" i="5"/>
  <c r="A20" i="5"/>
  <c r="A21" i="5"/>
  <c r="A22" i="5"/>
  <c r="A23" i="5"/>
  <c r="A24" i="5"/>
  <c r="A25" i="5"/>
  <c r="A26" i="5"/>
  <c r="A27" i="5"/>
  <c r="A28" i="5"/>
  <c r="A29" i="5"/>
  <c r="A30" i="5"/>
  <c r="A31" i="5"/>
  <c r="A32" i="5"/>
  <c r="A33" i="5"/>
  <c r="A16" i="1"/>
  <c r="A17" i="1"/>
  <c r="A18" i="1"/>
  <c r="A19" i="1"/>
  <c r="A20" i="1"/>
  <c r="A21" i="1"/>
  <c r="A22" i="1"/>
  <c r="A23" i="1"/>
  <c r="A24" i="1"/>
  <c r="A25" i="1"/>
  <c r="A26" i="1"/>
  <c r="A27" i="1"/>
  <c r="A28" i="1"/>
  <c r="A29" i="1"/>
  <c r="A30" i="1"/>
  <c r="A31" i="1"/>
  <c r="A32" i="1"/>
  <c r="A33" i="1"/>
  <c r="A34" i="1"/>
  <c r="A35" i="1"/>
  <c r="A36" i="1"/>
  <c r="A37" i="1"/>
  <c r="A15" i="5"/>
  <c r="A15" i="1"/>
  <c r="Q15" i="1" l="1"/>
  <c r="Q29" i="5"/>
  <c r="Q28" i="5"/>
  <c r="Q27" i="5"/>
  <c r="Q26" i="5"/>
  <c r="Q24" i="5"/>
  <c r="Q23" i="5"/>
  <c r="Q22" i="5"/>
  <c r="Q21" i="5"/>
  <c r="Q20" i="5"/>
  <c r="Q19" i="5"/>
  <c r="Q18" i="5"/>
  <c r="Q15" i="5"/>
  <c r="A14" i="5"/>
  <c r="D6" i="5"/>
  <c r="D5" i="5"/>
  <c r="D4" i="5"/>
  <c r="Q33" i="1"/>
  <c r="Q32" i="1"/>
  <c r="Q31" i="1"/>
  <c r="Q30" i="1"/>
  <c r="Q29" i="1"/>
  <c r="Q28" i="1"/>
  <c r="Q18" i="1"/>
  <c r="D8" i="5" l="1"/>
  <c r="D7" i="5" s="1"/>
  <c r="D5" i="1"/>
  <c r="D7" i="4" s="1"/>
  <c r="D4" i="1"/>
  <c r="C5" i="4" s="1"/>
  <c r="B7" i="4"/>
  <c r="B6" i="4"/>
  <c r="B5" i="4"/>
  <c r="Q19" i="1"/>
  <c r="Q20" i="1"/>
  <c r="Q21" i="1"/>
  <c r="Q22" i="1"/>
  <c r="Q23" i="1"/>
  <c r="Q24" i="1"/>
  <c r="Q25" i="1"/>
  <c r="Q26" i="1"/>
  <c r="D5" i="4" l="1"/>
  <c r="D8" i="1"/>
  <c r="D6" i="4"/>
  <c r="C6" i="4"/>
  <c r="C7" i="4"/>
  <c r="B4" i="4"/>
  <c r="A14" i="1"/>
  <c r="D6" i="1"/>
  <c r="E4" i="4" l="1"/>
  <c r="E7" i="4"/>
  <c r="E5" i="4"/>
  <c r="E6" i="4"/>
  <c r="G7" i="4"/>
  <c r="G6" i="4"/>
  <c r="G5" i="4"/>
  <c r="D4" i="4"/>
  <c r="D12" i="4" s="1"/>
  <c r="C4" i="4"/>
  <c r="C12" i="4" s="1"/>
  <c r="G4" i="4"/>
  <c r="E12" i="4" l="1"/>
  <c r="G12" i="4"/>
  <c r="I12" i="4" s="1"/>
  <c r="I5" i="4"/>
  <c r="J5" i="4"/>
  <c r="H5" i="4"/>
  <c r="I6" i="4"/>
  <c r="J6" i="4"/>
  <c r="H6" i="4"/>
  <c r="J7" i="4"/>
  <c r="H7" i="4"/>
  <c r="I7" i="4"/>
  <c r="J4" i="4"/>
  <c r="H4" i="4"/>
  <c r="I4" i="4"/>
  <c r="D7" i="1"/>
  <c r="H12" i="4" l="1"/>
  <c r="J12" i="4"/>
  <c r="F4" i="4"/>
  <c r="F7" i="4"/>
  <c r="F6" i="4"/>
  <c r="F5" i="4"/>
  <c r="F12" i="4" l="1"/>
</calcChain>
</file>

<file path=xl/sharedStrings.xml><?xml version="1.0" encoding="utf-8"?>
<sst xmlns="http://schemas.openxmlformats.org/spreadsheetml/2006/main" count="272" uniqueCount="123">
  <si>
    <t>KỊCH BẢN KIỂM THỬ *</t>
  </si>
  <si>
    <t>Tên màn hình/Tên chức năng</t>
  </si>
  <si>
    <t>Mã trường hợp kiểm thử</t>
  </si>
  <si>
    <t>Số trường hợp kiểm thử đạt (P)</t>
  </si>
  <si>
    <t>Số trường hợp kiểm thử không đạt (F)</t>
  </si>
  <si>
    <t>Số trường hợp kiểm thử đang xem xét (PE)</t>
  </si>
  <si>
    <t>Số trường hợp kiểm thử chưa thực hiện</t>
  </si>
  <si>
    <t>Tổng số trường hợp kiểm thử</t>
  </si>
  <si>
    <t>Mục đích kiểm thử</t>
  </si>
  <si>
    <t>Các bước thực hiện</t>
  </si>
  <si>
    <t>Kết quả mong muốn</t>
  </si>
  <si>
    <t>PC</t>
  </si>
  <si>
    <t>Firefox</t>
  </si>
  <si>
    <t>&lt;Tên trình duyệt 3&gt;</t>
  </si>
  <si>
    <t>&lt;Tên trình duyệt 4&gt;</t>
  </si>
  <si>
    <t>Kết quả hiện tại</t>
  </si>
  <si>
    <t>Mã lỗi</t>
  </si>
  <si>
    <t>Ghi chú</t>
  </si>
  <si>
    <t>Lần 1</t>
  </si>
  <si>
    <t>Lần 2</t>
  </si>
  <si>
    <t>Lần 3</t>
  </si>
  <si>
    <t>Giao diện (Phần này viết các trường hợp kiểm thử cho giao diên chung và các giao diện cho các control)</t>
  </si>
  <si>
    <t>N/A</t>
  </si>
  <si>
    <t>Chức năng (Phần này viết các trường hợp kiểm thử kiểm tra các ràng buộc trong cơ sở dữ liệu và cho các luồng nghiệp vụ trong tài liệu giải pháp, tích hợp với các chức năng khác)</t>
  </si>
  <si>
    <t>An toàn thông tin (Các trường hợp kiểm thử đảm bảo an toàn thông tin theo hướng dẫn kiểm thử an toàn thông tin)</t>
  </si>
  <si>
    <t>Kiểm tra ảnh hưởng (Các trường hợp kiểm thử ảnh hưởng từ chức năng)</t>
  </si>
  <si>
    <t xml:space="preserve">TẬP ĐOÀN CÔNG NGHIỆP VIỄN THÔNG QUÂN ĐỘI                  </t>
  </si>
  <si>
    <t>TỔNG CÔNG TY GIẢI PHÁP DOANH NGHIỆP VIETTEL</t>
  </si>
  <si>
    <t>TÀI LIỆU KỊCH BẢN KIỂM THỬ CHỨC NĂNG</t>
  </si>
  <si>
    <t xml:space="preserve">Mã dự án   </t>
  </si>
  <si>
    <t>:</t>
  </si>
  <si>
    <t>Mã tài liệu</t>
  </si>
  <si>
    <t>Người lập:</t>
  </si>
  <si>
    <t>&lt;Tên người nhập&gt;</t>
  </si>
  <si>
    <t>&lt;Ngày lập&gt;</t>
  </si>
  <si>
    <t>&lt;Chức vụ&gt;</t>
  </si>
  <si>
    <t>Người kiểm tra:</t>
  </si>
  <si>
    <t>&lt;Tên người kiểm tra</t>
  </si>
  <si>
    <t>&lt;Ngày kiểm tra&gt;</t>
  </si>
  <si>
    <t>Người phê duyệt:</t>
  </si>
  <si>
    <t>&lt;Tên người phê duyệt&gt;</t>
  </si>
  <si>
    <t>&lt;Ngày phê duyệt&gt;</t>
  </si>
  <si>
    <t>BẢNG GHI NHẬN THAY ĐỔI TÀI LIỆU</t>
  </si>
  <si>
    <t>Ngày thay đổi</t>
  </si>
  <si>
    <t>Vị trí thay đổi</t>
  </si>
  <si>
    <t>Lý do</t>
  </si>
  <si>
    <t>Nguồn gốc</t>
  </si>
  <si>
    <t>Phiên bản cũ</t>
  </si>
  <si>
    <t>Mô tả thay đổi</t>
  </si>
  <si>
    <t>Phiên bản mới</t>
  </si>
  <si>
    <t>GIỚI THIỆU</t>
  </si>
  <si>
    <t>1 - Giới thiệu</t>
  </si>
  <si>
    <t>2 - Tài liệu tham khảo</t>
  </si>
  <si>
    <t>STT</t>
  </si>
  <si>
    <t>Tên tài liệu</t>
  </si>
  <si>
    <t>Tên file</t>
  </si>
  <si>
    <t>Phiên bản</t>
  </si>
  <si>
    <t>Đường dẫn</t>
  </si>
  <si>
    <t>3 - Môi trường kiểm thử</t>
  </si>
  <si>
    <t>Trình duyệt</t>
  </si>
  <si>
    <t>Viết tắt</t>
  </si>
  <si>
    <t>Chrome</t>
  </si>
  <si>
    <t>C</t>
  </si>
  <si>
    <t>Microsoft Edge</t>
  </si>
  <si>
    <t>ME</t>
  </si>
  <si>
    <t>Cấu hình server test</t>
  </si>
  <si>
    <t>CPU: 4G, Duecore, Ram 8G, HDD: 320G</t>
  </si>
  <si>
    <t>Tool test</t>
  </si>
  <si>
    <t>Mục đích</t>
  </si>
  <si>
    <t>TỔNG HỢP KẾT QUẢ</t>
  </si>
  <si>
    <t>Tên màn hình/chức năng</t>
  </si>
  <si>
    <t>Tỉ lệ trường hợp kiểm thử đạt (%P)</t>
  </si>
  <si>
    <t>Tỉ lệ trường hợp kiểm thử không đạt (%F)</t>
  </si>
  <si>
    <t>Tỉ lệ trường hợp kiểm thử đã thực hiện (%Cover)</t>
  </si>
  <si>
    <t xml:space="preserve">Total </t>
  </si>
  <si>
    <t>P</t>
  </si>
  <si>
    <t>&lt;VOFFICE KHA&gt;</t>
  </si>
  <si>
    <t>A: Các bước thực hiện
Pre- condition:
1. Truy cập link: http://10.60.157.14:8001/app-view/theme/admin-ex/pages/main.zul
2.  Login acc có vai trò lãnh đạo (at_ld/123), Văn thư (at_vt/123), Chuyên viên ( at_cv/123)
3. Phạm vi
B: Mô tả chức năng
C: Các bảng tác động</t>
  </si>
  <si>
    <t>Kiểm tra tổng thể giao diện màn hình</t>
  </si>
  <si>
    <t>1. Kiểm tra title của màn hình
2. Kiểm tra sự đầy đủ của các thông tin trên màn hình</t>
  </si>
  <si>
    <t>1. Bố cục 
- Form được bố trí hợp lý và dễ sử dụng
2. Font chữ và màu chữ: 
- Các text sử dụng cùng 1 loại font chữ, cỡ chữ
- Màu chữ giống giao diện prototype
3. Chính tả: Không có lỗi về chính tả, cấu trúc câu, ngữ pháp trên màn hình</t>
  </si>
  <si>
    <t xml:space="preserve">Kiểm tra hiển thị widget Chờ xử lý đơn vị </t>
  </si>
  <si>
    <t>Kiểm tra hiển thị widget Chờ xử lý cá nhân</t>
  </si>
  <si>
    <t>Role Văn thư</t>
  </si>
  <si>
    <t xml:space="preserve">1. Đăng nhập vào tài khoản at_vt/123
2. Tại màn hình trang chủ&gt;&gt; mục văn bản đến 
3. Kiểm tra widget Chờ xử lý đơn vị </t>
  </si>
  <si>
    <t>Kiểm tra hiển thị tổng quan trang chục mục Vb đến &gt;&gt; chờ xử lý</t>
  </si>
  <si>
    <t xml:space="preserve">YC02_Tách widget Chờ xử lý cá nhân và Chờ xử lý đơn vị </t>
  </si>
  <si>
    <t xml:space="preserve">1. Đăng nhập vào tài khoản at_vt/123
2. Tại màn hình trang chủ&gt;&gt; mục văn bản đến 
3. Kiểm tra widget Chờ xử lý </t>
  </si>
  <si>
    <t>Widget Chờ xử lý cá nhân và Chờ xử lý đơn vị được tách riêng biệt trên giao diện</t>
  </si>
  <si>
    <t>Widget Chờ xử lý đơn vị hiển thị trên giao diện bao gồm số count đếm số lượng văn bản Chờ xử lý của đơn vị .</t>
  </si>
  <si>
    <t xml:space="preserve">1. Đăng nhập vào tài khoản at_vt/123
2. Tại màn hình trang chủ&gt;&gt; mục văn bản đến 
3. Kiểm tra widget Chờ xử lý cá nhân </t>
  </si>
  <si>
    <t>Widget Chờ xử lý cá nhân hiển thị trên giao diện bao gồm số count đếm số lượng văn bản Chờ xử lý của cá nhân.</t>
  </si>
  <si>
    <t xml:space="preserve">1. Đăng nhập vào tài khoản at_vt/123
2. Tại màn hình trang chủ&gt;&gt; mục văn bản đến 
3. Click vào widget Chờ xử lý đơn vị </t>
  </si>
  <si>
    <t>Hệ thống được điều hướng đến đúng TabVăn bản đến&gt;&gt; Chờ xử lý&gt;&gt; Văn bản đơn vị</t>
  </si>
  <si>
    <t>Kiểm tra điều hướng của widget Chờ xử lý đơn vị sau khi click</t>
  </si>
  <si>
    <t>Kiểm tra điều hướng của widget Chờ xử lý cá nhân sau khi click</t>
  </si>
  <si>
    <t>1. Đăng nhập vào tài khoản at_vt/123
2. Tại màn hình trang chủ&gt;&gt; mục văn bản đến 
3. Click vào widget Chờ xử lý cá nhân</t>
  </si>
  <si>
    <t>Hệ thống được điều hướng đến đúng TabVăn bản đến&gt;&gt; Chờ xử lý&gt;&gt; Văn bản cá nhân</t>
  </si>
  <si>
    <t xml:space="preserve">Kiểm tra số count văn bản của Widget Chờ xử lý đơn vị </t>
  </si>
  <si>
    <t>1. Đăng nhập vào tài khoản at_vt/123
2. Tại màn hình trang chủ&gt;&gt; mục văn bản đến 
3. Widget Chờ xử lý đơn vị &gt;&gt; Kiểm tra số count Văn bản</t>
  </si>
  <si>
    <t>Số lượng trên widget "Chờ xử lý đơn vị " khớp tuyệt đối với tổng số bản ghi chờ xử lý của đơn vị trong TabVăn bản đến&gt;&gt; Chờ xử lý&gt;&gt; Văn bản đơn vị và Database</t>
  </si>
  <si>
    <t>Kiểm tra số count văn bản của Widget Chờ xử lý cá nhân</t>
  </si>
  <si>
    <t>1. Đăng nhập vào tài khoản at_vt/123
2. Tại màn hình trang chủ&gt;&gt; mục văn bản đến 
3. Widget Chờ xử lý cá nhân&gt;&gt; Kiểm tra số count Văn bản</t>
  </si>
  <si>
    <t>Số lượng trên widget "Chờ xử lý cá nhân" khớp tuyệt đối với tổng số bản ghi chờ xử lý của cá nhân trong TabVăn bản đến&gt;&gt; Chờ xử lý&gt;&gt; Văn bản cá nhân và Database</t>
  </si>
  <si>
    <t>1. Đăng nhập vào tài khoản at_vt/123
2. Tại màn hình trang chủ&gt;&gt; Cài đặt&gt;&gt; cấu hình trang chủ
3. Mục văn bản đến &gt;&gt; bỏ tích chọn Chờ xử lý đơn vị và Chờ xử lý cá nhân
4. Sau khi cấu hình kiểm tra hiển thị tại mục Văn bản đến tại trang chủ</t>
  </si>
  <si>
    <t>Không hiển thị widget Chờ xử lý đơn vị và Chờ xử lý cá nhân trên giao diện trang chủ</t>
  </si>
  <si>
    <t>1. Đăng nhập vào tài khoản at_vt/123
2. Tại màn hình trang chủ&gt;&gt; Cài đặt&gt;&gt; cấu hình trang chủ
3. Mục văn bản đến &gt;&gt; tích chọn Chờ xử lý đơn vị và Chờ xử lý cá nhân
4. Sau khi cấu hình kiểm tra hiển thị tại mục Văn bản đến tại trang chủ</t>
  </si>
  <si>
    <t>Kiểm tra hiển thị khi cấu hình bỏ chọn tại trang chủ của widget Chờ xử lý đơn vị và Chờ xử lý cá nhân</t>
  </si>
  <si>
    <t>Kiểm tra hiển thị khi cấu hình chọn tại trang chủ của widget Chờ xử lý đơn vị và Chờ xử lý cá nhân</t>
  </si>
  <si>
    <t>Hiển thị widget Chờ xử lý đơn vị và Chờ xử lý cá nhân trên giao diện trang chủ</t>
  </si>
  <si>
    <t>Role khác Văn thư</t>
  </si>
  <si>
    <t>Kiểm tra hiển thị khi cấu hình bỏ chọn tại trang chủ của widget Chờ xử lý cá nhân</t>
  </si>
  <si>
    <t>Kiểm tra hiển thị khi cấu hình chọn tại trang chủ của widget Chờ xử lý cá nhân</t>
  </si>
  <si>
    <t>1. Đăng nhập vào tài khoản at_vt/123
2. Tại màn hình trang chủ&gt;&gt; Cài đặt&gt;&gt; cấu hình trang chủ
3. Mục văn bản đến &gt;&gt; bỏ tích chọn Chờ xử lý cá nhân
4. Sau khi cấu hình kiểm tra hiển thị tại mục Văn bản đến tại trang chủ</t>
  </si>
  <si>
    <t>1. Đăng nhập vào tài khoản at_vt/123
2. Tại màn hình trang chủ&gt;&gt; Cài đặt&gt;&gt; cấu hình trang chủ
3. Mục văn bản đến &gt;&gt; tích chọn Chờ xử lý cá nhân
4. Sau khi cấu hình kiểm tra hiển thị tại mục Văn bản đến tại trang chủ</t>
  </si>
  <si>
    <t>Hiển thị widget Chờ xử lý cá nhân trên giao diện trang chủ</t>
  </si>
  <si>
    <t>Không hiển thị widget Chờ xử lý cá nhân trên giao diện trang chủ</t>
  </si>
  <si>
    <t xml:space="preserve">YC02_Tách widget Chờ xử lý đơn vị và Chờ xử lý cá nhân_Web
</t>
  </si>
  <si>
    <t>Mobile</t>
  </si>
  <si>
    <t>Tablet</t>
  </si>
  <si>
    <t xml:space="preserve">YC02_Tách widget Chờ xử lý đơn vị và Chờ xử lý cá nhân_App
</t>
  </si>
  <si>
    <t>A: Các bước thực hiện
Pre- condition:
1. Truy cập link: http://10.60.157.14:8068/ServiceMobile_V02/resources
2.  Login acc có vai trò lãnh đạo (at_ld/123), Văn thư (at_vt/123), Chuyên viên ( at_cv/123)
3. Phạm vi
B: Mô tả chức năng
C: Các bảng tác động</t>
  </si>
  <si>
    <t>YC_02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</si>
</sst>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m/yy;@" x16r2:formatCode16="[$-en-VN,1]d/m/yy;@"/>
    <numFmt numFmtId="165" formatCode="0.0"/>
  </numFmts>
  <fonts count="32">
    <font>
      <sz val="11"/>
      <color theme="1"/>
      <name val="Arial"/>
      <family val="2"/>
      <scheme val="minor"/>
    </font>
    <font>
      <sz val="11"/>
      <color theme="1"/>
      <name val="Arial"/>
      <family val="2"/>
      <scheme val="minor"/>
    </font>
    <font>
      <sz val="10"/>
      <color rgb="FF000000"/>
      <name val="Arial"/>
      <family val="2"/>
      <scheme val="minor"/>
    </font>
    <font>
      <sz val="12"/>
      <color theme="1"/>
      <name val="Times New Roman"/>
      <family val="1"/>
    </font>
    <font>
      <b/>
      <sz val="12"/>
      <color theme="1"/>
      <name val="Times New Roman"/>
      <family val="1"/>
    </font>
    <font>
      <sz val="12"/>
      <name val="Times New Roman"/>
      <family val="1"/>
    </font>
    <font>
      <sz val="12"/>
      <color rgb="FF000000"/>
      <name val="Times New Roman"/>
      <family val="1"/>
    </font>
    <font>
      <b/>
      <i/>
      <sz val="12"/>
      <color theme="1"/>
      <name val="Times New Roman"/>
      <family val="1"/>
    </font>
    <font>
      <b/>
      <i/>
      <sz val="12"/>
      <color rgb="FF000000"/>
      <name val="Times New Roman"/>
      <family val="1"/>
    </font>
    <font>
      <sz val="10"/>
      <name val="Arial"/>
      <family val="2"/>
    </font>
    <font>
      <sz val="10"/>
      <name val="Times New Roman"/>
      <family val="1"/>
    </font>
    <font>
      <b/>
      <sz val="14"/>
      <name val="Times New Roman"/>
      <family val="1"/>
    </font>
    <font>
      <b/>
      <sz val="12"/>
      <name val="Times New Roman"/>
      <family val="1"/>
    </font>
    <font>
      <sz val="18"/>
      <name val="Times New Roman"/>
      <family val="1"/>
    </font>
    <font>
      <b/>
      <sz val="24"/>
      <name val="Times New Roman"/>
      <family val="1"/>
    </font>
    <font>
      <b/>
      <sz val="22"/>
      <name val="Times New Roman"/>
      <family val="1"/>
    </font>
    <font>
      <sz val="20"/>
      <name val="Times New Roman"/>
      <family val="1"/>
    </font>
    <font>
      <b/>
      <sz val="10"/>
      <name val="Times New Roman"/>
      <family val="1"/>
    </font>
    <font>
      <sz val="10"/>
      <color theme="1"/>
      <name val="Times New Roman"/>
      <family val="1"/>
    </font>
    <font>
      <b/>
      <i/>
      <sz val="10"/>
      <name val="Times New Roman"/>
      <family val="1"/>
    </font>
    <font>
      <b/>
      <sz val="20"/>
      <name val="Times New Roman"/>
      <family val="1"/>
    </font>
    <font>
      <sz val="11"/>
      <color theme="1"/>
      <name val="Times New Roman"/>
      <family val="1"/>
    </font>
    <font>
      <sz val="11"/>
      <name val="Times New Roman"/>
      <family val="1"/>
    </font>
    <font>
      <u/>
      <sz val="11"/>
      <color theme="10"/>
      <name val="Arial"/>
      <family val="2"/>
      <scheme val="minor"/>
    </font>
    <font>
      <b/>
      <sz val="20"/>
      <name val="Arial"/>
      <family val="2"/>
    </font>
    <font>
      <b/>
      <sz val="10"/>
      <name val="Arial"/>
      <family val="2"/>
    </font>
    <font>
      <sz val="10"/>
      <color theme="1"/>
      <name val="Arial"/>
      <family val="2"/>
      <scheme val="major"/>
    </font>
    <font>
      <u/>
      <sz val="11"/>
      <color theme="10"/>
      <name val="Arial"/>
      <family val="2"/>
      <scheme val="major"/>
    </font>
    <font>
      <b/>
      <sz val="20"/>
      <color indexed="8"/>
      <name val="Times New Roman"/>
      <family val="1"/>
    </font>
    <font>
      <sz val="10"/>
      <color indexed="8"/>
      <name val="Times New Roman"/>
      <family val="1"/>
    </font>
    <font>
      <b/>
      <sz val="12"/>
      <color indexed="8"/>
      <name val="Times New Roman"/>
      <family val="1"/>
    </font>
    <font>
      <sz val="11"/>
      <name val="ＭＳ Ｐゴシック"/>
      <family val="3"/>
      <charset val="128"/>
    </font>
  </fonts>
  <fills count="15">
    <fill>
      <patternFill patternType="none"/>
    </fill>
    <fill>
      <patternFill patternType="gray125"/>
    </fill>
    <fill>
      <patternFill patternType="solid">
        <fgColor rgb="FFFFFFFF"/>
        <bgColor rgb="FFFFFFFF"/>
      </patternFill>
    </fill>
    <fill>
      <patternFill patternType="solid">
        <fgColor rgb="FFCCFFCC"/>
        <bgColor rgb="FFCCFFCC"/>
      </patternFill>
    </fill>
    <fill>
      <patternFill patternType="solid">
        <fgColor rgb="FF00CCFF"/>
        <bgColor rgb="FF00CCFF"/>
      </patternFill>
    </fill>
    <fill>
      <patternFill patternType="solid">
        <fgColor rgb="FFB8CCE4"/>
        <bgColor rgb="FFB8CCE4"/>
      </patternFill>
    </fill>
    <fill>
      <patternFill patternType="solid">
        <fgColor indexed="9"/>
        <bgColor indexed="64"/>
      </patternFill>
    </fill>
    <fill>
      <patternFill patternType="solid">
        <fgColor rgb="FFCCFFCC"/>
        <bgColor rgb="FF000000"/>
      </patternFill>
    </fill>
    <fill>
      <patternFill patternType="solid">
        <fgColor indexed="40"/>
        <bgColor indexed="64"/>
      </patternFill>
    </fill>
    <fill>
      <patternFill patternType="solid">
        <fgColor rgb="FFCCFFCC"/>
        <bgColor indexed="64"/>
      </patternFill>
    </fill>
    <fill>
      <patternFill patternType="solid">
        <fgColor indexed="42"/>
        <bgColor indexed="64"/>
      </patternFill>
    </fill>
    <fill>
      <patternFill patternType="solid">
        <fgColor theme="0"/>
        <bgColor rgb="FFCCFFCC"/>
      </patternFill>
    </fill>
    <fill>
      <patternFill patternType="solid">
        <fgColor theme="5" tint="0.59999389629810485"/>
        <bgColor rgb="FFCCFFCC"/>
      </patternFill>
    </fill>
    <fill>
      <patternFill patternType="solid">
        <fgColor indexed="9"/>
        <bgColor indexed="26"/>
      </patternFill>
    </fill>
    <fill>
      <patternFill patternType="solid">
        <fgColor rgb="FFFFFF00"/>
        <bgColor indexed="64"/>
      </patternFill>
    </fill>
  </fills>
  <borders count="30">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8"/>
      </left>
      <right style="thin">
        <color indexed="8"/>
      </right>
      <top/>
      <bottom/>
      <diagonal/>
    </border>
    <border>
      <left style="thin">
        <color indexed="64"/>
      </left>
      <right style="thin">
        <color indexed="8"/>
      </right>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style="thin">
        <color indexed="64"/>
      </bottom>
      <diagonal/>
    </border>
    <border>
      <left style="thin">
        <color rgb="FF000000"/>
      </left>
      <right/>
      <top style="thin">
        <color indexed="64"/>
      </top>
      <bottom style="thin">
        <color indexed="64"/>
      </bottom>
      <diagonal/>
    </border>
  </borders>
  <cellStyleXfs count="10">
    <xf numFmtId="0" fontId="0" fillId="0" borderId="0"/>
    <xf numFmtId="0" fontId="2" fillId="0" borderId="0"/>
    <xf numFmtId="0" fontId="9" fillId="0" borderId="0"/>
    <xf numFmtId="0" fontId="1" fillId="0" borderId="0"/>
    <xf numFmtId="0" fontId="23" fillId="0" borderId="0" applyNumberFormat="0" applyFill="0" applyBorder="0" applyAlignment="0" applyProtection="0"/>
    <xf numFmtId="0" fontId="1" fillId="0" borderId="0"/>
    <xf numFmtId="9" fontId="2" fillId="0" borderId="0" applyFont="0" applyFill="0" applyBorder="0" applyAlignment="0" applyProtection="0"/>
    <xf numFmtId="0" fontId="31" fillId="0" borderId="0"/>
    <xf numFmtId="0" fontId="9" fillId="0" borderId="0"/>
    <xf numFmtId="0" fontId="9" fillId="0" borderId="0"/>
  </cellStyleXfs>
  <cellXfs count="201">
    <xf numFmtId="0" fontId="0" fillId="0" borderId="0" xfId="0"/>
    <xf numFmtId="0" fontId="3" fillId="2" borderId="0" xfId="1" applyFont="1" applyFill="1" applyAlignment="1">
      <alignment horizontal="center" vertical="center" wrapText="1"/>
    </xf>
    <xf numFmtId="0" fontId="3" fillId="2" borderId="0" xfId="1" applyFont="1" applyFill="1" applyAlignment="1">
      <alignment horizontal="left" vertical="center" wrapText="1"/>
    </xf>
    <xf numFmtId="0" fontId="6" fillId="0" borderId="0" xfId="1" applyFont="1"/>
    <xf numFmtId="0" fontId="4" fillId="2" borderId="2" xfId="1" applyFont="1" applyFill="1" applyBorder="1" applyAlignment="1">
      <alignment horizontal="left" vertical="center" wrapText="1"/>
    </xf>
    <xf numFmtId="0" fontId="3" fillId="2" borderId="2" xfId="1" applyFont="1" applyFill="1" applyBorder="1" applyAlignment="1">
      <alignment horizontal="left" vertical="center" wrapText="1"/>
    </xf>
    <xf numFmtId="0" fontId="3" fillId="3" borderId="2" xfId="1" applyFont="1" applyFill="1" applyBorder="1" applyAlignment="1">
      <alignment horizontal="left" vertical="center" wrapText="1"/>
    </xf>
    <xf numFmtId="0" fontId="4" fillId="4" borderId="3" xfId="1" applyFont="1" applyFill="1" applyBorder="1" applyAlignment="1">
      <alignment horizontal="center" vertical="center" wrapText="1"/>
    </xf>
    <xf numFmtId="0" fontId="6" fillId="0" borderId="0" xfId="1" applyFont="1" applyAlignment="1">
      <alignment horizontal="center"/>
    </xf>
    <xf numFmtId="0" fontId="4" fillId="4" borderId="2" xfId="1" applyFont="1" applyFill="1" applyBorder="1" applyAlignment="1">
      <alignment horizontal="center" vertical="center" wrapText="1"/>
    </xf>
    <xf numFmtId="0" fontId="4" fillId="5" borderId="0" xfId="1" applyFont="1" applyFill="1" applyAlignment="1">
      <alignment horizontal="center" vertical="center" wrapText="1"/>
    </xf>
    <xf numFmtId="0" fontId="4" fillId="5" borderId="5" xfId="1" applyFont="1" applyFill="1" applyBorder="1" applyAlignment="1">
      <alignment horizontal="left" vertical="center" wrapText="1"/>
    </xf>
    <xf numFmtId="0" fontId="4" fillId="5" borderId="6" xfId="1" applyFont="1" applyFill="1" applyBorder="1" applyAlignment="1">
      <alignment horizontal="left" vertical="center" wrapText="1"/>
    </xf>
    <xf numFmtId="0" fontId="3" fillId="0" borderId="0" xfId="1" applyFont="1" applyAlignment="1">
      <alignment horizontal="left" vertical="center" wrapText="1"/>
    </xf>
    <xf numFmtId="0" fontId="7" fillId="3" borderId="10" xfId="1" applyFont="1" applyFill="1" applyBorder="1" applyAlignment="1">
      <alignment vertical="center"/>
    </xf>
    <xf numFmtId="0" fontId="7" fillId="3" borderId="10" xfId="1" applyFont="1" applyFill="1" applyBorder="1" applyAlignment="1">
      <alignment horizontal="center" vertical="center" wrapText="1"/>
    </xf>
    <xf numFmtId="0" fontId="6" fillId="0" borderId="0" xfId="1" applyFont="1" applyAlignment="1">
      <alignment vertical="center" wrapText="1"/>
    </xf>
    <xf numFmtId="0" fontId="3" fillId="2" borderId="11" xfId="1" applyFont="1" applyFill="1" applyBorder="1"/>
    <xf numFmtId="0" fontId="3" fillId="2" borderId="10" xfId="1" applyFont="1" applyFill="1" applyBorder="1"/>
    <xf numFmtId="0" fontId="3" fillId="2" borderId="0" xfId="1" applyFont="1" applyFill="1"/>
    <xf numFmtId="0" fontId="3" fillId="0" borderId="0" xfId="1" applyFont="1"/>
    <xf numFmtId="0" fontId="6" fillId="0" borderId="0" xfId="1" applyFont="1" applyAlignment="1">
      <alignment horizontal="center" vertical="center"/>
    </xf>
    <xf numFmtId="0" fontId="6" fillId="0" borderId="0" xfId="1" applyFont="1" applyAlignment="1">
      <alignment wrapText="1"/>
    </xf>
    <xf numFmtId="0" fontId="6" fillId="0" borderId="0" xfId="1" applyFont="1" applyAlignment="1">
      <alignment vertical="center"/>
    </xf>
    <xf numFmtId="0" fontId="10" fillId="6" borderId="13" xfId="2" applyFont="1" applyFill="1" applyBorder="1"/>
    <xf numFmtId="0" fontId="10" fillId="6" borderId="14" xfId="2" applyFont="1" applyFill="1" applyBorder="1"/>
    <xf numFmtId="0" fontId="11" fillId="6" borderId="14" xfId="2" applyFont="1" applyFill="1" applyBorder="1"/>
    <xf numFmtId="0" fontId="11" fillId="6" borderId="14" xfId="2" applyFont="1" applyFill="1" applyBorder="1" applyAlignment="1">
      <alignment horizontal="left"/>
    </xf>
    <xf numFmtId="0" fontId="12" fillId="6" borderId="14" xfId="2" applyFont="1" applyFill="1" applyBorder="1" applyAlignment="1">
      <alignment horizontal="center"/>
    </xf>
    <xf numFmtId="0" fontId="10" fillId="6" borderId="15" xfId="2" applyFont="1" applyFill="1" applyBorder="1"/>
    <xf numFmtId="0" fontId="10" fillId="0" borderId="0" xfId="2" applyFont="1"/>
    <xf numFmtId="0" fontId="10" fillId="6" borderId="16" xfId="2" applyFont="1" applyFill="1" applyBorder="1"/>
    <xf numFmtId="0" fontId="10" fillId="6" borderId="0" xfId="2" applyFont="1" applyFill="1"/>
    <xf numFmtId="0" fontId="11" fillId="6" borderId="0" xfId="2" applyFont="1" applyFill="1"/>
    <xf numFmtId="0" fontId="12" fillId="6" borderId="0" xfId="2" applyFont="1" applyFill="1" applyAlignment="1">
      <alignment horizontal="center"/>
    </xf>
    <xf numFmtId="0" fontId="10" fillId="6" borderId="17" xfId="2" applyFont="1" applyFill="1" applyBorder="1"/>
    <xf numFmtId="0" fontId="15" fillId="0" borderId="0" xfId="2" applyFont="1" applyAlignment="1">
      <alignment wrapText="1"/>
    </xf>
    <xf numFmtId="0" fontId="17" fillId="6" borderId="0" xfId="2" applyFont="1" applyFill="1"/>
    <xf numFmtId="0" fontId="10" fillId="6" borderId="0" xfId="1" applyFont="1" applyFill="1"/>
    <xf numFmtId="0" fontId="18" fillId="2" borderId="0" xfId="3" applyFont="1" applyFill="1" applyAlignment="1">
      <alignment horizontal="left"/>
    </xf>
    <xf numFmtId="0" fontId="17" fillId="6" borderId="16" xfId="2" applyFont="1" applyFill="1" applyBorder="1"/>
    <xf numFmtId="0" fontId="17" fillId="6" borderId="17" xfId="2" applyFont="1" applyFill="1" applyBorder="1"/>
    <xf numFmtId="0" fontId="10" fillId="6" borderId="0" xfId="2" applyFont="1" applyFill="1" applyAlignment="1">
      <alignment horizontal="left"/>
    </xf>
    <xf numFmtId="0" fontId="19" fillId="6" borderId="16" xfId="1" applyFont="1" applyFill="1" applyBorder="1" applyAlignment="1">
      <alignment horizontal="left"/>
    </xf>
    <xf numFmtId="0" fontId="10" fillId="6" borderId="0" xfId="1" applyFont="1" applyFill="1" applyAlignment="1">
      <alignment horizontal="left"/>
    </xf>
    <xf numFmtId="0" fontId="10" fillId="0" borderId="17" xfId="2" applyFont="1" applyBorder="1"/>
    <xf numFmtId="0" fontId="10" fillId="6" borderId="16" xfId="1" applyFont="1" applyFill="1" applyBorder="1" applyAlignment="1">
      <alignment horizontal="left"/>
    </xf>
    <xf numFmtId="14" fontId="10" fillId="6" borderId="0" xfId="1" applyNumberFormat="1" applyFont="1" applyFill="1"/>
    <xf numFmtId="0" fontId="10" fillId="6" borderId="16" xfId="1" applyFont="1" applyFill="1" applyBorder="1" applyAlignment="1">
      <alignment horizontal="left" indent="11"/>
    </xf>
    <xf numFmtId="0" fontId="10" fillId="6" borderId="16" xfId="1" applyFont="1" applyFill="1" applyBorder="1"/>
    <xf numFmtId="0" fontId="10" fillId="6" borderId="18" xfId="1" applyFont="1" applyFill="1" applyBorder="1"/>
    <xf numFmtId="0" fontId="10" fillId="6" borderId="19" xfId="1" applyFont="1" applyFill="1" applyBorder="1"/>
    <xf numFmtId="0" fontId="10" fillId="0" borderId="20" xfId="2" applyFont="1" applyBorder="1"/>
    <xf numFmtId="0" fontId="17" fillId="8" borderId="12" xfId="1" applyFont="1" applyFill="1" applyBorder="1" applyAlignment="1">
      <alignment horizontal="center" vertical="center" wrapText="1"/>
    </xf>
    <xf numFmtId="164" fontId="21" fillId="0" borderId="2" xfId="3" applyNumberFormat="1" applyFont="1" applyBorder="1"/>
    <xf numFmtId="0" fontId="21" fillId="0" borderId="2" xfId="3" applyFont="1" applyBorder="1"/>
    <xf numFmtId="0" fontId="22" fillId="0" borderId="10" xfId="1" applyFont="1" applyBorder="1"/>
    <xf numFmtId="0" fontId="9" fillId="6" borderId="0" xfId="1" applyFont="1" applyFill="1"/>
    <xf numFmtId="0" fontId="9" fillId="6" borderId="0" xfId="2" applyFill="1"/>
    <xf numFmtId="0" fontId="9" fillId="0" borderId="10" xfId="2" applyBorder="1" applyAlignment="1">
      <alignment horizontal="left" vertical="center" wrapText="1"/>
    </xf>
    <xf numFmtId="0" fontId="25" fillId="9" borderId="10" xfId="2" applyFont="1" applyFill="1" applyBorder="1" applyAlignment="1">
      <alignment horizontal="center" vertical="center" wrapText="1"/>
    </xf>
    <xf numFmtId="0" fontId="9" fillId="6" borderId="10" xfId="1" applyFont="1" applyFill="1" applyBorder="1" applyAlignment="1">
      <alignment horizontal="center" vertical="center" wrapText="1"/>
    </xf>
    <xf numFmtId="0" fontId="26" fillId="0" borderId="2" xfId="3" applyFont="1" applyBorder="1" applyAlignment="1">
      <alignment horizontal="left" vertical="center" wrapText="1"/>
    </xf>
    <xf numFmtId="0" fontId="26" fillId="0" borderId="2" xfId="3" applyFont="1" applyBorder="1" applyAlignment="1">
      <alignment horizontal="center" vertical="center" wrapText="1"/>
    </xf>
    <xf numFmtId="0" fontId="27" fillId="0" borderId="2" xfId="4" applyFont="1" applyBorder="1" applyAlignment="1">
      <alignment horizontal="left" vertical="center" wrapText="1"/>
    </xf>
    <xf numFmtId="0" fontId="9" fillId="6" borderId="0" xfId="5" applyFont="1" applyFill="1"/>
    <xf numFmtId="0" fontId="9" fillId="6" borderId="10" xfId="2" applyFill="1" applyBorder="1" applyAlignment="1">
      <alignment horizontal="justify" vertical="center" wrapText="1"/>
    </xf>
    <xf numFmtId="0" fontId="9" fillId="6" borderId="10" xfId="2" applyFill="1" applyBorder="1" applyAlignment="1">
      <alignment vertical="center" wrapText="1"/>
    </xf>
    <xf numFmtId="0" fontId="9" fillId="6" borderId="10" xfId="2" applyFill="1" applyBorder="1" applyAlignment="1">
      <alignment horizontal="center" vertical="center" wrapText="1"/>
    </xf>
    <xf numFmtId="0" fontId="9" fillId="0" borderId="10" xfId="1" applyFont="1" applyBorder="1" applyAlignment="1">
      <alignment horizontal="center" vertical="center" wrapText="1"/>
    </xf>
    <xf numFmtId="0" fontId="9" fillId="9" borderId="10" xfId="2" applyFill="1" applyBorder="1" applyAlignment="1">
      <alignment horizontal="center" vertical="center" wrapText="1"/>
    </xf>
    <xf numFmtId="0" fontId="25" fillId="9" borderId="10" xfId="2" applyFont="1" applyFill="1" applyBorder="1" applyAlignment="1">
      <alignment horizontal="left" vertical="center" wrapText="1"/>
    </xf>
    <xf numFmtId="0" fontId="9" fillId="6" borderId="10" xfId="1" applyFont="1" applyFill="1" applyBorder="1" applyAlignment="1">
      <alignment horizontal="left" vertical="center" wrapText="1"/>
    </xf>
    <xf numFmtId="0" fontId="29" fillId="6" borderId="0" xfId="1" applyFont="1" applyFill="1"/>
    <xf numFmtId="0" fontId="17" fillId="8" borderId="10" xfId="1" applyFont="1" applyFill="1" applyBorder="1" applyAlignment="1">
      <alignment horizontal="center" vertical="top" wrapText="1"/>
    </xf>
    <xf numFmtId="0" fontId="10" fillId="10" borderId="23" xfId="1" applyFont="1" applyFill="1" applyBorder="1" applyAlignment="1">
      <alignment horizontal="center"/>
    </xf>
    <xf numFmtId="0" fontId="29" fillId="10" borderId="10" xfId="1" applyFont="1" applyFill="1" applyBorder="1"/>
    <xf numFmtId="0" fontId="29" fillId="10" borderId="10" xfId="1" applyFont="1" applyFill="1" applyBorder="1" applyAlignment="1">
      <alignment horizontal="center"/>
    </xf>
    <xf numFmtId="9" fontId="29" fillId="10" borderId="10" xfId="6" applyFont="1" applyFill="1" applyBorder="1" applyAlignment="1">
      <alignment horizontal="center"/>
    </xf>
    <xf numFmtId="0" fontId="30" fillId="10" borderId="10" xfId="1" applyFont="1" applyFill="1" applyBorder="1" applyAlignment="1">
      <alignment horizontal="center"/>
    </xf>
    <xf numFmtId="9" fontId="30" fillId="10" borderId="10" xfId="6" applyFont="1" applyFill="1" applyBorder="1" applyAlignment="1">
      <alignment horizontal="center"/>
    </xf>
    <xf numFmtId="0" fontId="29" fillId="6" borderId="0" xfId="1" applyFont="1" applyFill="1" applyAlignment="1">
      <alignment horizontal="center"/>
    </xf>
    <xf numFmtId="0" fontId="7" fillId="3" borderId="10" xfId="1" applyFont="1" applyFill="1" applyBorder="1" applyAlignment="1">
      <alignment horizontal="center" vertical="center" wrapText="1"/>
    </xf>
    <xf numFmtId="0" fontId="7" fillId="11" borderId="10" xfId="1" applyFont="1" applyFill="1" applyBorder="1" applyAlignment="1">
      <alignment horizontal="center" vertical="center" wrapText="1"/>
    </xf>
    <xf numFmtId="0" fontId="6" fillId="7" borderId="10" xfId="0" applyFont="1" applyFill="1" applyBorder="1" applyAlignment="1">
      <alignment horizontal="center" vertical="center" wrapText="1"/>
    </xf>
    <xf numFmtId="0" fontId="5" fillId="6" borderId="10" xfId="0" applyFont="1" applyFill="1" applyBorder="1" applyAlignment="1">
      <alignment horizontal="center" vertical="center" wrapText="1"/>
    </xf>
    <xf numFmtId="0" fontId="5" fillId="13" borderId="24" xfId="7" quotePrefix="1" applyFont="1" applyFill="1" applyBorder="1" applyAlignment="1">
      <alignment vertical="center" wrapText="1"/>
    </xf>
    <xf numFmtId="0" fontId="5" fillId="13" borderId="25" xfId="7" applyFont="1" applyFill="1" applyBorder="1" applyAlignment="1">
      <alignment vertical="center" wrapText="1"/>
    </xf>
    <xf numFmtId="0" fontId="3" fillId="2" borderId="26" xfId="1" applyFont="1" applyFill="1" applyBorder="1"/>
    <xf numFmtId="0" fontId="3" fillId="2" borderId="3" xfId="1" applyFont="1" applyFill="1" applyBorder="1"/>
    <xf numFmtId="0" fontId="3" fillId="2" borderId="0" xfId="1" applyFont="1" applyFill="1" applyAlignment="1">
      <alignment horizontal="center" vertical="center" wrapText="1"/>
    </xf>
    <xf numFmtId="0" fontId="3" fillId="2" borderId="0" xfId="1" applyFont="1" applyFill="1" applyAlignment="1">
      <alignment horizontal="left" vertical="center" wrapText="1"/>
    </xf>
    <xf numFmtId="0" fontId="6" fillId="0" borderId="0" xfId="1" applyFont="1"/>
    <xf numFmtId="0" fontId="4" fillId="2" borderId="2" xfId="1" applyFont="1" applyFill="1" applyBorder="1" applyAlignment="1">
      <alignment horizontal="left" vertical="center" wrapText="1"/>
    </xf>
    <xf numFmtId="0" fontId="3" fillId="2" borderId="2" xfId="1" applyFont="1" applyFill="1" applyBorder="1" applyAlignment="1">
      <alignment horizontal="left" vertical="center" wrapText="1"/>
    </xf>
    <xf numFmtId="0" fontId="3" fillId="3" borderId="2" xfId="1" applyFont="1" applyFill="1" applyBorder="1" applyAlignment="1">
      <alignment horizontal="left" vertical="center" wrapText="1"/>
    </xf>
    <xf numFmtId="0" fontId="6" fillId="0" borderId="0" xfId="1" applyFont="1" applyAlignment="1">
      <alignment horizontal="center"/>
    </xf>
    <xf numFmtId="0" fontId="3" fillId="3" borderId="7" xfId="1" applyFont="1" applyFill="1" applyBorder="1" applyAlignment="1">
      <alignment horizontal="center" vertical="center" wrapText="1"/>
    </xf>
    <xf numFmtId="0" fontId="4" fillId="5" borderId="0" xfId="1" applyFont="1" applyFill="1" applyAlignment="1">
      <alignment horizontal="center" vertical="center" wrapText="1"/>
    </xf>
    <xf numFmtId="0" fontId="4" fillId="5" borderId="6" xfId="1" applyFont="1" applyFill="1" applyBorder="1" applyAlignment="1">
      <alignment horizontal="left" vertical="center" wrapText="1"/>
    </xf>
    <xf numFmtId="0" fontId="3" fillId="0" borderId="0" xfId="1" applyFont="1" applyAlignment="1">
      <alignment horizontal="left" vertical="center" wrapText="1"/>
    </xf>
    <xf numFmtId="0" fontId="3" fillId="3" borderId="9" xfId="1" applyFont="1" applyFill="1" applyBorder="1" applyAlignment="1">
      <alignment horizontal="center" vertical="center" wrapText="1"/>
    </xf>
    <xf numFmtId="0" fontId="7" fillId="3" borderId="10" xfId="1" applyFont="1" applyFill="1" applyBorder="1" applyAlignment="1">
      <alignment horizontal="center" vertical="center" wrapText="1"/>
    </xf>
    <xf numFmtId="0" fontId="6" fillId="0" borderId="0" xfId="1" applyFont="1" applyAlignment="1">
      <alignment vertical="center" wrapText="1"/>
    </xf>
    <xf numFmtId="0" fontId="3" fillId="0" borderId="0" xfId="1" applyFont="1"/>
    <xf numFmtId="0" fontId="6" fillId="0" borderId="0" xfId="1" applyFont="1" applyAlignment="1">
      <alignment wrapText="1"/>
    </xf>
    <xf numFmtId="0" fontId="6" fillId="0" borderId="0" xfId="1" applyFont="1" applyAlignment="1">
      <alignment vertical="center"/>
    </xf>
    <xf numFmtId="0" fontId="7" fillId="11" borderId="10" xfId="1" applyFont="1" applyFill="1" applyBorder="1" applyAlignment="1">
      <alignment horizontal="center" vertical="center" wrapText="1"/>
    </xf>
    <xf numFmtId="0" fontId="6" fillId="7" borderId="10" xfId="0" applyFont="1" applyFill="1" applyBorder="1" applyAlignment="1">
      <alignment horizontal="center" vertical="center" wrapText="1"/>
    </xf>
    <xf numFmtId="0" fontId="5" fillId="6" borderId="10" xfId="0" applyFont="1" applyFill="1" applyBorder="1" applyAlignment="1">
      <alignment horizontal="center" vertical="center" wrapText="1"/>
    </xf>
    <xf numFmtId="0" fontId="3" fillId="2" borderId="11" xfId="1" applyFont="1" applyFill="1" applyBorder="1"/>
    <xf numFmtId="0" fontId="3" fillId="2" borderId="10" xfId="1" applyFont="1" applyFill="1" applyBorder="1"/>
    <xf numFmtId="0" fontId="5" fillId="13" borderId="24" xfId="7" quotePrefix="1" applyFont="1" applyFill="1" applyBorder="1" applyAlignment="1">
      <alignment vertical="center" wrapText="1"/>
    </xf>
    <xf numFmtId="0" fontId="5" fillId="13" borderId="25" xfId="7" applyFont="1" applyFill="1" applyBorder="1" applyAlignment="1">
      <alignment vertical="center" wrapText="1"/>
    </xf>
    <xf numFmtId="0" fontId="3" fillId="2" borderId="26" xfId="1" applyFont="1" applyFill="1" applyBorder="1"/>
    <xf numFmtId="0" fontId="3" fillId="2" borderId="3" xfId="1" applyFont="1" applyFill="1" applyBorder="1"/>
    <xf numFmtId="0" fontId="4" fillId="4" borderId="3" xfId="1" applyFont="1" applyFill="1" applyBorder="1" applyAlignment="1">
      <alignment horizontal="center" vertical="center" wrapText="1"/>
    </xf>
    <xf numFmtId="0" fontId="5" fillId="0" borderId="1" xfId="1" applyFont="1" applyBorder="1"/>
    <xf numFmtId="0" fontId="7" fillId="2" borderId="11" xfId="1" applyFont="1" applyFill="1" applyBorder="1"/>
    <xf numFmtId="0" fontId="7" fillId="2" borderId="10" xfId="1" applyFont="1" applyFill="1" applyBorder="1"/>
    <xf numFmtId="0" fontId="7" fillId="2" borderId="0" xfId="1" applyFont="1" applyFill="1"/>
    <xf numFmtId="0" fontId="7" fillId="0" borderId="0" xfId="1" applyFont="1"/>
    <xf numFmtId="0" fontId="8" fillId="0" borderId="0" xfId="1" applyFont="1"/>
    <xf numFmtId="0" fontId="7" fillId="2" borderId="0" xfId="1" applyFont="1" applyFill="1" applyAlignment="1">
      <alignment horizontal="left" vertical="center" wrapText="1"/>
    </xf>
    <xf numFmtId="0" fontId="3" fillId="3" borderId="10" xfId="1" applyFont="1" applyFill="1" applyBorder="1" applyAlignment="1">
      <alignment horizontal="center" vertical="center" wrapText="1"/>
    </xf>
    <xf numFmtId="0" fontId="3" fillId="11" borderId="10" xfId="1" applyFont="1" applyFill="1" applyBorder="1" applyAlignment="1">
      <alignment horizontal="center" vertical="center" wrapText="1"/>
    </xf>
    <xf numFmtId="0" fontId="3" fillId="2" borderId="11" xfId="1" applyFont="1" applyFill="1" applyBorder="1" applyAlignment="1">
      <alignment wrapText="1"/>
    </xf>
    <xf numFmtId="0" fontId="3" fillId="2" borderId="10" xfId="1" applyFont="1" applyFill="1" applyBorder="1" applyAlignment="1">
      <alignment wrapText="1"/>
    </xf>
    <xf numFmtId="0" fontId="3" fillId="2" borderId="0" xfId="1" applyFont="1" applyFill="1" applyAlignment="1">
      <alignment wrapText="1"/>
    </xf>
    <xf numFmtId="0" fontId="3" fillId="0" borderId="0" xfId="1" applyFont="1" applyAlignment="1">
      <alignment wrapText="1"/>
    </xf>
    <xf numFmtId="0" fontId="3" fillId="11" borderId="10" xfId="1" applyFont="1" applyFill="1" applyBorder="1" applyAlignment="1">
      <alignment vertical="top" wrapText="1"/>
    </xf>
    <xf numFmtId="0" fontId="4" fillId="4" borderId="0" xfId="1" applyFont="1" applyFill="1" applyBorder="1" applyAlignment="1">
      <alignment horizontal="center" vertical="center" wrapText="1"/>
    </xf>
    <xf numFmtId="0" fontId="5" fillId="0" borderId="0" xfId="1" applyFont="1" applyBorder="1" applyAlignment="1">
      <alignment horizontal="center"/>
    </xf>
    <xf numFmtId="0" fontId="5" fillId="0" borderId="27" xfId="1" applyFont="1" applyBorder="1"/>
    <xf numFmtId="0" fontId="7" fillId="3" borderId="21" xfId="1" applyFont="1" applyFill="1" applyBorder="1" applyAlignment="1">
      <alignment vertical="center" wrapText="1"/>
    </xf>
    <xf numFmtId="0" fontId="7" fillId="3" borderId="22" xfId="1" applyFont="1" applyFill="1" applyBorder="1" applyAlignment="1">
      <alignment vertical="center" wrapText="1"/>
    </xf>
    <xf numFmtId="0" fontId="7" fillId="3" borderId="11" xfId="1" applyFont="1" applyFill="1" applyBorder="1" applyAlignment="1">
      <alignment vertical="center" wrapText="1"/>
    </xf>
    <xf numFmtId="0" fontId="4" fillId="5" borderId="1" xfId="1" applyFont="1" applyFill="1" applyBorder="1" applyAlignment="1">
      <alignment horizontal="left" vertical="center" wrapText="1"/>
    </xf>
    <xf numFmtId="0" fontId="12" fillId="14" borderId="10" xfId="1" applyFont="1" applyFill="1" applyBorder="1" applyAlignment="1">
      <alignment vertical="top" wrapText="1"/>
    </xf>
    <xf numFmtId="0" fontId="4" fillId="4" borderId="10" xfId="1" applyFont="1" applyFill="1" applyBorder="1" applyAlignment="1">
      <alignment horizontal="center" vertical="center" wrapText="1"/>
    </xf>
    <xf numFmtId="0" fontId="5" fillId="0" borderId="10" xfId="1" applyFont="1" applyBorder="1" applyAlignment="1">
      <alignment horizontal="center"/>
    </xf>
    <xf numFmtId="0" fontId="5" fillId="0" borderId="10" xfId="1" applyFont="1" applyBorder="1"/>
    <xf numFmtId="0" fontId="22" fillId="0" borderId="21" xfId="1" applyFont="1" applyBorder="1" applyAlignment="1">
      <alignment horizontal="center"/>
    </xf>
    <xf numFmtId="0" fontId="22" fillId="0" borderId="22" xfId="1" applyFont="1" applyBorder="1" applyAlignment="1">
      <alignment horizontal="center"/>
    </xf>
    <xf numFmtId="0" fontId="22" fillId="0" borderId="11" xfId="1" applyFont="1" applyBorder="1" applyAlignment="1">
      <alignment horizontal="center"/>
    </xf>
    <xf numFmtId="0" fontId="22" fillId="0" borderId="10" xfId="1" applyFont="1" applyBorder="1" applyAlignment="1">
      <alignment horizontal="center"/>
    </xf>
    <xf numFmtId="0" fontId="13" fillId="6" borderId="16" xfId="2" applyFont="1" applyFill="1" applyBorder="1" applyAlignment="1">
      <alignment horizontal="center"/>
    </xf>
    <xf numFmtId="0" fontId="13" fillId="6" borderId="0" xfId="2" applyFont="1" applyFill="1" applyAlignment="1">
      <alignment horizontal="center"/>
    </xf>
    <xf numFmtId="0" fontId="13" fillId="6" borderId="17" xfId="2" applyFont="1" applyFill="1" applyBorder="1" applyAlignment="1">
      <alignment horizontal="center"/>
    </xf>
    <xf numFmtId="0" fontId="14" fillId="6" borderId="16" xfId="2" applyFont="1" applyFill="1" applyBorder="1" applyAlignment="1">
      <alignment horizontal="center" wrapText="1"/>
    </xf>
    <xf numFmtId="0" fontId="14" fillId="6" borderId="0" xfId="2" applyFont="1" applyFill="1" applyAlignment="1">
      <alignment horizontal="center" wrapText="1"/>
    </xf>
    <xf numFmtId="0" fontId="14" fillId="6" borderId="17" xfId="2" applyFont="1" applyFill="1" applyBorder="1" applyAlignment="1">
      <alignment horizontal="center" wrapText="1"/>
    </xf>
    <xf numFmtId="0" fontId="16" fillId="6" borderId="16" xfId="2" applyFont="1" applyFill="1" applyBorder="1" applyAlignment="1">
      <alignment horizontal="center" wrapText="1"/>
    </xf>
    <xf numFmtId="0" fontId="16" fillId="6" borderId="0" xfId="2" applyFont="1" applyFill="1" applyAlignment="1">
      <alignment horizontal="center" wrapText="1"/>
    </xf>
    <xf numFmtId="0" fontId="16" fillId="6" borderId="17" xfId="2" applyFont="1" applyFill="1" applyBorder="1" applyAlignment="1">
      <alignment horizontal="center" wrapText="1"/>
    </xf>
    <xf numFmtId="0" fontId="20" fillId="6" borderId="0" xfId="1" applyFont="1" applyFill="1" applyAlignment="1">
      <alignment horizontal="center"/>
    </xf>
    <xf numFmtId="0" fontId="17" fillId="8" borderId="10" xfId="1" applyFont="1" applyFill="1" applyBorder="1" applyAlignment="1">
      <alignment horizontal="center" vertical="center" wrapText="1"/>
    </xf>
    <xf numFmtId="0" fontId="9" fillId="6" borderId="21" xfId="2" applyFill="1" applyBorder="1" applyAlignment="1">
      <alignment horizontal="left" vertical="center" wrapText="1"/>
    </xf>
    <xf numFmtId="0" fontId="9" fillId="6" borderId="22" xfId="2" applyFill="1" applyBorder="1" applyAlignment="1">
      <alignment horizontal="left" vertical="center" wrapText="1"/>
    </xf>
    <xf numFmtId="0" fontId="9" fillId="6" borderId="11" xfId="2" applyFill="1" applyBorder="1" applyAlignment="1">
      <alignment horizontal="left" vertical="center" wrapText="1"/>
    </xf>
    <xf numFmtId="0" fontId="25" fillId="9" borderId="21" xfId="2" applyFont="1" applyFill="1" applyBorder="1" applyAlignment="1">
      <alignment horizontal="center" vertical="center" wrapText="1"/>
    </xf>
    <xf numFmtId="0" fontId="25" fillId="9" borderId="11" xfId="2" applyFont="1" applyFill="1" applyBorder="1" applyAlignment="1">
      <alignment horizontal="center" vertical="center" wrapText="1"/>
    </xf>
    <xf numFmtId="165" fontId="9" fillId="6" borderId="10" xfId="1" applyNumberFormat="1" applyFont="1" applyFill="1" applyBorder="1" applyAlignment="1">
      <alignment horizontal="center" vertical="center" wrapText="1"/>
    </xf>
    <xf numFmtId="0" fontId="25" fillId="8" borderId="10" xfId="2" applyFont="1" applyFill="1" applyBorder="1" applyAlignment="1">
      <alignment horizontal="left" vertical="center" wrapText="1"/>
    </xf>
    <xf numFmtId="0" fontId="25" fillId="9" borderId="21" xfId="2" applyFont="1" applyFill="1" applyBorder="1" applyAlignment="1">
      <alignment horizontal="left" vertical="center" wrapText="1"/>
    </xf>
    <xf numFmtId="0" fontId="25" fillId="9" borderId="22" xfId="2" applyFont="1" applyFill="1" applyBorder="1" applyAlignment="1">
      <alignment horizontal="left" vertical="center" wrapText="1"/>
    </xf>
    <xf numFmtId="0" fontId="25" fillId="9" borderId="11" xfId="2" applyFont="1" applyFill="1" applyBorder="1" applyAlignment="1">
      <alignment horizontal="left" vertical="center" wrapText="1"/>
    </xf>
    <xf numFmtId="0" fontId="9" fillId="0" borderId="10" xfId="2" applyBorder="1" applyAlignment="1">
      <alignment horizontal="left" vertical="center" wrapText="1"/>
    </xf>
    <xf numFmtId="0" fontId="24" fillId="6" borderId="0" xfId="2" applyFont="1" applyFill="1" applyAlignment="1">
      <alignment horizontal="center"/>
    </xf>
    <xf numFmtId="0" fontId="9" fillId="0" borderId="10" xfId="1" applyFont="1" applyBorder="1" applyAlignment="1">
      <alignment horizontal="left" vertical="center" wrapText="1"/>
    </xf>
    <xf numFmtId="0" fontId="28" fillId="6" borderId="0" xfId="1" applyFont="1" applyFill="1" applyAlignment="1">
      <alignment horizontal="center"/>
    </xf>
    <xf numFmtId="0" fontId="12" fillId="10" borderId="21" xfId="1" applyFont="1" applyFill="1" applyBorder="1" applyAlignment="1">
      <alignment horizontal="center" vertical="center" wrapText="1"/>
    </xf>
    <xf numFmtId="0" fontId="12" fillId="10" borderId="11" xfId="1" applyFont="1" applyFill="1" applyBorder="1" applyAlignment="1">
      <alignment horizontal="center" vertical="center" wrapText="1"/>
    </xf>
    <xf numFmtId="0" fontId="3" fillId="2" borderId="21" xfId="1" applyFont="1" applyFill="1" applyBorder="1" applyAlignment="1">
      <alignment vertical="center" wrapText="1"/>
    </xf>
    <xf numFmtId="0" fontId="3" fillId="2" borderId="22" xfId="1" applyFont="1" applyFill="1" applyBorder="1" applyAlignment="1">
      <alignment vertical="center" wrapText="1"/>
    </xf>
    <xf numFmtId="0" fontId="3" fillId="2" borderId="11" xfId="1" applyFont="1" applyFill="1" applyBorder="1" applyAlignment="1">
      <alignment vertical="center" wrapText="1"/>
    </xf>
    <xf numFmtId="0" fontId="7" fillId="3" borderId="21" xfId="1" applyFont="1" applyFill="1" applyBorder="1" applyAlignment="1">
      <alignment vertical="center"/>
    </xf>
    <xf numFmtId="0" fontId="7" fillId="3" borderId="22" xfId="1" applyFont="1" applyFill="1" applyBorder="1" applyAlignment="1">
      <alignment vertical="center"/>
    </xf>
    <xf numFmtId="0" fontId="7" fillId="3" borderId="11" xfId="1" applyFont="1" applyFill="1" applyBorder="1" applyAlignment="1">
      <alignment vertical="center"/>
    </xf>
    <xf numFmtId="0" fontId="8" fillId="3" borderId="21" xfId="1" applyFont="1" applyFill="1" applyBorder="1" applyAlignment="1">
      <alignment vertical="center"/>
    </xf>
    <xf numFmtId="0" fontId="8" fillId="3" borderId="22" xfId="1" applyFont="1" applyFill="1" applyBorder="1" applyAlignment="1">
      <alignment vertical="center"/>
    </xf>
    <xf numFmtId="0" fontId="8" fillId="3" borderId="11" xfId="1" applyFont="1" applyFill="1" applyBorder="1" applyAlignment="1">
      <alignment vertical="center"/>
    </xf>
    <xf numFmtId="0" fontId="4" fillId="12" borderId="21" xfId="1" applyFont="1" applyFill="1" applyBorder="1" applyAlignment="1">
      <alignment vertical="center"/>
    </xf>
    <xf numFmtId="0" fontId="4" fillId="12" borderId="22" xfId="1" applyFont="1" applyFill="1" applyBorder="1" applyAlignment="1">
      <alignment vertical="center"/>
    </xf>
    <xf numFmtId="0" fontId="4" fillId="12" borderId="11" xfId="1" applyFont="1" applyFill="1" applyBorder="1" applyAlignment="1">
      <alignment vertical="center"/>
    </xf>
    <xf numFmtId="0" fontId="12" fillId="14" borderId="29" xfId="1" applyFont="1" applyFill="1" applyBorder="1" applyAlignment="1">
      <alignment vertical="top" wrapText="1"/>
    </xf>
    <xf numFmtId="0" fontId="12" fillId="14" borderId="22" xfId="1" applyFont="1" applyFill="1" applyBorder="1" applyAlignment="1">
      <alignment vertical="top" wrapText="1"/>
    </xf>
    <xf numFmtId="0" fontId="12" fillId="14" borderId="11" xfId="1" applyFont="1" applyFill="1" applyBorder="1" applyAlignment="1">
      <alignment vertical="top" wrapText="1"/>
    </xf>
    <xf numFmtId="0" fontId="7" fillId="5" borderId="28" xfId="1" applyFont="1" applyFill="1" applyBorder="1" applyAlignment="1">
      <alignment horizontal="left" vertical="center" wrapText="1"/>
    </xf>
    <xf numFmtId="0" fontId="7" fillId="5" borderId="19" xfId="1" applyFont="1" applyFill="1" applyBorder="1" applyAlignment="1">
      <alignment horizontal="left" vertical="center" wrapText="1"/>
    </xf>
    <xf numFmtId="0" fontId="4" fillId="4" borderId="4" xfId="1" applyFont="1" applyFill="1" applyBorder="1" applyAlignment="1">
      <alignment horizontal="center" vertical="center" wrapText="1"/>
    </xf>
    <xf numFmtId="0" fontId="5" fillId="0" borderId="5" xfId="1" applyFont="1" applyBorder="1" applyAlignment="1">
      <alignment horizontal="center"/>
    </xf>
    <xf numFmtId="0" fontId="5" fillId="0" borderId="6" xfId="1" applyFont="1" applyBorder="1" applyAlignment="1">
      <alignment horizontal="center"/>
    </xf>
    <xf numFmtId="0" fontId="4" fillId="4" borderId="3" xfId="1" applyFont="1" applyFill="1" applyBorder="1" applyAlignment="1">
      <alignment horizontal="center" vertical="center" wrapText="1"/>
    </xf>
    <xf numFmtId="0" fontId="5" fillId="0" borderId="8" xfId="1" applyFont="1" applyBorder="1" applyAlignment="1">
      <alignment horizontal="center"/>
    </xf>
    <xf numFmtId="0" fontId="5" fillId="0" borderId="8" xfId="1" applyFont="1" applyBorder="1"/>
    <xf numFmtId="0" fontId="4" fillId="2" borderId="1" xfId="1" applyFont="1" applyFill="1" applyBorder="1" applyAlignment="1">
      <alignment horizontal="center" vertical="center" wrapText="1"/>
    </xf>
    <xf numFmtId="0" fontId="5" fillId="0" borderId="1" xfId="1" applyFont="1" applyBorder="1"/>
    <xf numFmtId="0" fontId="5" fillId="0" borderId="7" xfId="1" applyFont="1" applyBorder="1" applyAlignment="1">
      <alignment horizontal="center"/>
    </xf>
    <xf numFmtId="0" fontId="5" fillId="0" borderId="7" xfId="1" applyFont="1" applyBorder="1"/>
    <xf numFmtId="0" fontId="12" fillId="14" borderId="10" xfId="1" applyFont="1" applyFill="1" applyBorder="1" applyAlignment="1">
      <alignment vertical="top" wrapText="1"/>
    </xf>
  </cellXfs>
  <cellStyles count="10">
    <cellStyle name="Hyperlink 2" xfId="4"/>
    <cellStyle name="Normal" xfId="0" builtinId="0"/>
    <cellStyle name="Normal 2" xfId="1"/>
    <cellStyle name="Normal 2 2" xfId="5"/>
    <cellStyle name="Normal 2 3 2 2 2" xfId="8"/>
    <cellStyle name="Normal 3" xfId="2"/>
    <cellStyle name="Normal 3 11 2" xfId="9"/>
    <cellStyle name="Normal 4" xfId="3"/>
    <cellStyle name="Normal_Sheet1" xfId="7"/>
    <cellStyle name="Percent 2" xfId="6"/>
  </cellStyles>
  <dxfs count="143">
    <dxf>
      <font>
        <color rgb="FF0000FF"/>
      </font>
      <fill>
        <patternFill patternType="none"/>
      </fill>
    </dxf>
    <dxf>
      <font>
        <color rgb="FFFF0000"/>
      </font>
      <fill>
        <patternFill patternType="none"/>
      </fill>
    </dxf>
    <dxf>
      <font>
        <color rgb="FF000000"/>
      </font>
      <fill>
        <patternFill patternType="none"/>
      </fill>
    </dxf>
    <dxf>
      <font>
        <b/>
        <condense val="0"/>
        <extend val="0"/>
        <color indexed="12"/>
      </font>
    </dxf>
    <dxf>
      <font>
        <b/>
        <condense val="0"/>
        <extend val="0"/>
        <color indexed="10"/>
      </font>
    </dxf>
    <dxf>
      <font>
        <color rgb="FF0000FF"/>
      </font>
      <fill>
        <patternFill patternType="none"/>
      </fill>
    </dxf>
    <dxf>
      <font>
        <color rgb="FFFF0000"/>
      </font>
      <fill>
        <patternFill patternType="none"/>
      </fill>
    </dxf>
    <dxf>
      <font>
        <color rgb="FF000000"/>
      </font>
      <fill>
        <patternFill patternType="none"/>
      </fill>
    </dxf>
    <dxf>
      <font>
        <b/>
        <condense val="0"/>
        <extend val="0"/>
        <color indexed="12"/>
      </font>
    </dxf>
    <dxf>
      <font>
        <b/>
        <condense val="0"/>
        <extend val="0"/>
        <color indexed="10"/>
      </font>
    </dxf>
    <dxf>
      <font>
        <color rgb="FF0000FF"/>
      </font>
      <fill>
        <patternFill patternType="none"/>
      </fill>
    </dxf>
    <dxf>
      <font>
        <color rgb="FFFF0000"/>
      </font>
      <fill>
        <patternFill patternType="none"/>
      </fill>
    </dxf>
    <dxf>
      <font>
        <color rgb="FF000000"/>
      </font>
      <fill>
        <patternFill patternType="none"/>
      </fill>
    </dxf>
    <dxf>
      <font>
        <b/>
        <condense val="0"/>
        <extend val="0"/>
        <color indexed="12"/>
      </font>
    </dxf>
    <dxf>
      <font>
        <b/>
        <condense val="0"/>
        <extend val="0"/>
        <color indexed="10"/>
      </font>
    </dxf>
    <dxf>
      <font>
        <color rgb="FF0000FF"/>
      </font>
      <fill>
        <patternFill patternType="none"/>
      </fill>
    </dxf>
    <dxf>
      <font>
        <color rgb="FFFF0000"/>
      </font>
      <fill>
        <patternFill patternType="none"/>
      </fill>
    </dxf>
    <dxf>
      <font>
        <color rgb="FF000000"/>
      </font>
      <fill>
        <patternFill patternType="none"/>
      </fill>
    </dxf>
    <dxf>
      <font>
        <b/>
        <condense val="0"/>
        <extend val="0"/>
        <color indexed="12"/>
      </font>
    </dxf>
    <dxf>
      <font>
        <b/>
        <condense val="0"/>
        <extend val="0"/>
        <color indexed="10"/>
      </font>
    </dxf>
    <dxf>
      <font>
        <color rgb="FF0000FF"/>
      </font>
      <fill>
        <patternFill patternType="none"/>
      </fill>
    </dxf>
    <dxf>
      <font>
        <color rgb="FFFF0000"/>
      </font>
      <fill>
        <patternFill patternType="none"/>
      </fill>
    </dxf>
    <dxf>
      <font>
        <color rgb="FF000000"/>
      </font>
      <fill>
        <patternFill patternType="none"/>
      </fill>
    </dxf>
    <dxf>
      <font>
        <color rgb="FF0000FF"/>
      </font>
      <fill>
        <patternFill patternType="none"/>
      </fill>
    </dxf>
    <dxf>
      <font>
        <color rgb="FFFF0000"/>
      </font>
      <fill>
        <patternFill patternType="none"/>
      </fill>
    </dxf>
    <dxf>
      <font>
        <color rgb="FF000000"/>
      </font>
      <fill>
        <patternFill patternType="none"/>
      </fill>
    </dxf>
    <dxf>
      <font>
        <b/>
        <condense val="0"/>
        <extend val="0"/>
        <color indexed="12"/>
      </font>
    </dxf>
    <dxf>
      <font>
        <b/>
        <condense val="0"/>
        <extend val="0"/>
        <color indexed="10"/>
      </font>
    </dxf>
    <dxf>
      <font>
        <color rgb="FF0000FF"/>
      </font>
      <fill>
        <patternFill patternType="none"/>
      </fill>
    </dxf>
    <dxf>
      <font>
        <color rgb="FFFF0000"/>
      </font>
      <fill>
        <patternFill patternType="none"/>
      </fill>
    </dxf>
    <dxf>
      <font>
        <color rgb="FF000000"/>
      </font>
      <fill>
        <patternFill patternType="none"/>
      </fill>
    </dxf>
    <dxf>
      <font>
        <b/>
        <condense val="0"/>
        <extend val="0"/>
        <color indexed="12"/>
      </font>
    </dxf>
    <dxf>
      <font>
        <b/>
        <condense val="0"/>
        <extend val="0"/>
        <color indexed="10"/>
      </font>
    </dxf>
    <dxf>
      <font>
        <color rgb="FF0000FF"/>
      </font>
      <fill>
        <patternFill patternType="none"/>
      </fill>
    </dxf>
    <dxf>
      <font>
        <color rgb="FFFF0000"/>
      </font>
      <fill>
        <patternFill patternType="none"/>
      </fill>
    </dxf>
    <dxf>
      <font>
        <color rgb="FF000000"/>
      </font>
      <fill>
        <patternFill patternType="none"/>
      </fill>
    </dxf>
    <dxf>
      <font>
        <color rgb="FF0000FF"/>
      </font>
      <fill>
        <patternFill patternType="none"/>
      </fill>
    </dxf>
    <dxf>
      <font>
        <color rgb="FFFF0000"/>
      </font>
      <fill>
        <patternFill patternType="none"/>
      </fill>
    </dxf>
    <dxf>
      <font>
        <color rgb="FF000000"/>
      </font>
      <fill>
        <patternFill patternType="none"/>
      </fill>
    </dxf>
    <dxf>
      <font>
        <b/>
        <condense val="0"/>
        <extend val="0"/>
        <color indexed="12"/>
      </font>
    </dxf>
    <dxf>
      <font>
        <b/>
        <condense val="0"/>
        <extend val="0"/>
        <color indexed="10"/>
      </font>
    </dxf>
    <dxf>
      <font>
        <color rgb="FF0000FF"/>
      </font>
      <fill>
        <patternFill patternType="none"/>
      </fill>
    </dxf>
    <dxf>
      <font>
        <color rgb="FFFF0000"/>
      </font>
      <fill>
        <patternFill patternType="none"/>
      </fill>
    </dxf>
    <dxf>
      <font>
        <color rgb="FF000000"/>
      </font>
      <fill>
        <patternFill patternType="none"/>
      </fill>
    </dxf>
    <dxf>
      <font>
        <color rgb="FF0000FF"/>
      </font>
      <fill>
        <patternFill patternType="none"/>
      </fill>
    </dxf>
    <dxf>
      <font>
        <color rgb="FFFF0000"/>
      </font>
      <fill>
        <patternFill patternType="none"/>
      </fill>
    </dxf>
    <dxf>
      <font>
        <color rgb="FF000000"/>
      </font>
      <fill>
        <patternFill patternType="none"/>
      </fill>
    </dxf>
    <dxf>
      <font>
        <color rgb="FF0000FF"/>
      </font>
      <fill>
        <patternFill patternType="none"/>
      </fill>
    </dxf>
    <dxf>
      <font>
        <color rgb="FFFF0000"/>
      </font>
      <fill>
        <patternFill patternType="none"/>
      </fill>
    </dxf>
    <dxf>
      <font>
        <color rgb="FF000000"/>
      </font>
      <fill>
        <patternFill patternType="none"/>
      </fill>
    </dxf>
    <dxf>
      <font>
        <color rgb="FF0000FF"/>
      </font>
      <fill>
        <patternFill patternType="none"/>
      </fill>
    </dxf>
    <dxf>
      <font>
        <color rgb="FFFF0000"/>
      </font>
      <fill>
        <patternFill patternType="none"/>
      </fill>
    </dxf>
    <dxf>
      <font>
        <color rgb="FF000000"/>
      </font>
      <fill>
        <patternFill patternType="none"/>
      </fill>
    </dxf>
    <dxf>
      <font>
        <b/>
        <condense val="0"/>
        <extend val="0"/>
        <color indexed="12"/>
      </font>
    </dxf>
    <dxf>
      <font>
        <b/>
        <condense val="0"/>
        <extend val="0"/>
        <color indexed="10"/>
      </font>
    </dxf>
    <dxf>
      <font>
        <color rgb="FF0000FF"/>
      </font>
      <fill>
        <patternFill patternType="none"/>
      </fill>
    </dxf>
    <dxf>
      <font>
        <color rgb="FFFF0000"/>
      </font>
      <fill>
        <patternFill patternType="none"/>
      </fill>
    </dxf>
    <dxf>
      <font>
        <color rgb="FF000000"/>
      </font>
      <fill>
        <patternFill patternType="none"/>
      </fill>
    </dxf>
    <dxf>
      <font>
        <color rgb="FF0000FF"/>
      </font>
      <fill>
        <patternFill patternType="none"/>
      </fill>
    </dxf>
    <dxf>
      <font>
        <color rgb="FFFF0000"/>
      </font>
      <fill>
        <patternFill patternType="none"/>
      </fill>
    </dxf>
    <dxf>
      <fill>
        <patternFill patternType="none"/>
      </fill>
    </dxf>
    <dxf>
      <font>
        <b/>
        <condense val="0"/>
        <extend val="0"/>
        <color indexed="12"/>
      </font>
    </dxf>
    <dxf>
      <font>
        <b/>
        <condense val="0"/>
        <extend val="0"/>
        <color indexed="10"/>
      </font>
    </dxf>
    <dxf>
      <font>
        <color rgb="FF0000FF"/>
      </font>
      <fill>
        <patternFill patternType="none"/>
      </fill>
    </dxf>
    <dxf>
      <font>
        <color rgb="FFFF0000"/>
      </font>
      <fill>
        <patternFill patternType="none"/>
      </fill>
    </dxf>
    <dxf>
      <font>
        <color rgb="FF000000"/>
      </font>
      <fill>
        <patternFill patternType="none"/>
      </fill>
    </dxf>
    <dxf>
      <font>
        <color rgb="FF0000FF"/>
      </font>
      <fill>
        <patternFill patternType="none"/>
      </fill>
    </dxf>
    <dxf>
      <font>
        <color rgb="FFFF0000"/>
      </font>
      <fill>
        <patternFill patternType="none"/>
      </fill>
    </dxf>
    <dxf>
      <font>
        <color rgb="FF000000"/>
      </font>
      <fill>
        <patternFill patternType="none"/>
      </fill>
    </dxf>
    <dxf>
      <font>
        <b/>
        <condense val="0"/>
        <extend val="0"/>
        <color indexed="12"/>
      </font>
    </dxf>
    <dxf>
      <font>
        <b/>
        <condense val="0"/>
        <extend val="0"/>
        <color indexed="10"/>
      </font>
    </dxf>
    <dxf>
      <font>
        <color rgb="FF0000FF"/>
      </font>
      <fill>
        <patternFill patternType="none"/>
      </fill>
    </dxf>
    <dxf>
      <font>
        <color rgb="FFFF0000"/>
      </font>
      <fill>
        <patternFill patternType="none"/>
      </fill>
    </dxf>
    <dxf>
      <font>
        <color rgb="FF000000"/>
      </font>
      <fill>
        <patternFill patternType="none"/>
      </fill>
    </dxf>
    <dxf>
      <font>
        <color rgb="FF0000FF"/>
      </font>
      <fill>
        <patternFill patternType="none"/>
      </fill>
    </dxf>
    <dxf>
      <font>
        <color rgb="FFFF0000"/>
      </font>
      <fill>
        <patternFill patternType="none"/>
      </fill>
    </dxf>
    <dxf>
      <font>
        <color rgb="FF000000"/>
      </font>
      <fill>
        <patternFill patternType="none"/>
      </fill>
    </dxf>
    <dxf>
      <font>
        <b/>
        <condense val="0"/>
        <extend val="0"/>
        <color indexed="12"/>
      </font>
    </dxf>
    <dxf>
      <font>
        <b/>
        <condense val="0"/>
        <extend val="0"/>
        <color indexed="10"/>
      </font>
    </dxf>
    <dxf>
      <font>
        <color rgb="FF0000FF"/>
      </font>
      <fill>
        <patternFill patternType="none"/>
      </fill>
    </dxf>
    <dxf>
      <font>
        <color rgb="FFFF0000"/>
      </font>
      <fill>
        <patternFill patternType="none"/>
      </fill>
    </dxf>
    <dxf>
      <font>
        <color rgb="FF000000"/>
      </font>
      <fill>
        <patternFill patternType="none"/>
      </fill>
    </dxf>
    <dxf>
      <font>
        <color rgb="FF0000FF"/>
      </font>
      <fill>
        <patternFill patternType="none"/>
      </fill>
    </dxf>
    <dxf>
      <font>
        <color rgb="FFFF0000"/>
      </font>
      <fill>
        <patternFill patternType="none"/>
      </fill>
    </dxf>
    <dxf>
      <font>
        <color rgb="FF000000"/>
      </font>
      <fill>
        <patternFill patternType="none"/>
      </fill>
    </dxf>
    <dxf>
      <font>
        <b/>
        <condense val="0"/>
        <extend val="0"/>
        <color indexed="12"/>
      </font>
    </dxf>
    <dxf>
      <font>
        <b/>
        <condense val="0"/>
        <extend val="0"/>
        <color indexed="10"/>
      </font>
    </dxf>
    <dxf>
      <font>
        <color rgb="FF0000FF"/>
      </font>
      <fill>
        <patternFill patternType="none"/>
      </fill>
    </dxf>
    <dxf>
      <font>
        <color rgb="FFFF0000"/>
      </font>
      <fill>
        <patternFill patternType="none"/>
      </fill>
    </dxf>
    <dxf>
      <font>
        <color rgb="FF000000"/>
      </font>
      <fill>
        <patternFill patternType="none"/>
      </fill>
    </dxf>
    <dxf>
      <font>
        <b/>
        <condense val="0"/>
        <extend val="0"/>
        <color indexed="12"/>
      </font>
    </dxf>
    <dxf>
      <font>
        <b/>
        <condense val="0"/>
        <extend val="0"/>
        <color indexed="10"/>
      </font>
    </dxf>
    <dxf>
      <font>
        <color rgb="FF0000FF"/>
      </font>
      <fill>
        <patternFill patternType="none"/>
      </fill>
    </dxf>
    <dxf>
      <font>
        <color rgb="FFFF0000"/>
      </font>
      <fill>
        <patternFill patternType="none"/>
      </fill>
    </dxf>
    <dxf>
      <font>
        <color rgb="FF000000"/>
      </font>
      <fill>
        <patternFill patternType="none"/>
      </fill>
    </dxf>
    <dxf>
      <font>
        <color rgb="FF0000FF"/>
      </font>
      <fill>
        <patternFill patternType="none"/>
      </fill>
    </dxf>
    <dxf>
      <font>
        <color rgb="FFFF0000"/>
      </font>
      <fill>
        <patternFill patternType="none"/>
      </fill>
    </dxf>
    <dxf>
      <font>
        <color rgb="FF000000"/>
      </font>
      <fill>
        <patternFill patternType="none"/>
      </fill>
    </dxf>
    <dxf>
      <font>
        <color rgb="FF0000FF"/>
      </font>
      <fill>
        <patternFill patternType="none"/>
      </fill>
    </dxf>
    <dxf>
      <font>
        <color rgb="FFFF0000"/>
      </font>
      <fill>
        <patternFill patternType="none"/>
      </fill>
    </dxf>
    <dxf>
      <font>
        <color rgb="FF000000"/>
      </font>
      <fill>
        <patternFill patternType="none"/>
      </fill>
    </dxf>
    <dxf>
      <font>
        <b/>
        <condense val="0"/>
        <extend val="0"/>
        <color indexed="12"/>
      </font>
    </dxf>
    <dxf>
      <font>
        <b/>
        <condense val="0"/>
        <extend val="0"/>
        <color indexed="10"/>
      </font>
    </dxf>
    <dxf>
      <font>
        <color rgb="FF0000FF"/>
      </font>
      <fill>
        <patternFill patternType="none"/>
      </fill>
    </dxf>
    <dxf>
      <font>
        <color rgb="FFFF0000"/>
      </font>
      <fill>
        <patternFill patternType="none"/>
      </fill>
    </dxf>
    <dxf>
      <font>
        <color rgb="FF000000"/>
      </font>
      <fill>
        <patternFill patternType="none"/>
      </fill>
    </dxf>
    <dxf>
      <font>
        <color rgb="FF0000FF"/>
      </font>
      <fill>
        <patternFill patternType="none"/>
      </fill>
    </dxf>
    <dxf>
      <font>
        <color rgb="FFFF0000"/>
      </font>
      <fill>
        <patternFill patternType="none"/>
      </fill>
    </dxf>
    <dxf>
      <font>
        <color rgb="FF000000"/>
      </font>
      <fill>
        <patternFill patternType="none"/>
      </fill>
    </dxf>
    <dxf>
      <font>
        <color rgb="FF0000FF"/>
      </font>
      <fill>
        <patternFill patternType="none"/>
      </fill>
    </dxf>
    <dxf>
      <font>
        <color rgb="FFFF0000"/>
      </font>
      <fill>
        <patternFill patternType="none"/>
      </fill>
    </dxf>
    <dxf>
      <font>
        <color rgb="FF000000"/>
      </font>
      <fill>
        <patternFill patternType="none"/>
      </fill>
    </dxf>
    <dxf>
      <font>
        <color rgb="FF0000FF"/>
      </font>
      <fill>
        <patternFill patternType="none"/>
      </fill>
    </dxf>
    <dxf>
      <font>
        <color rgb="FFFF0000"/>
      </font>
      <fill>
        <patternFill patternType="none"/>
      </fill>
    </dxf>
    <dxf>
      <font>
        <color rgb="FF000000"/>
      </font>
      <fill>
        <patternFill patternType="none"/>
      </fill>
    </dxf>
    <dxf>
      <font>
        <color rgb="FF0000FF"/>
      </font>
      <fill>
        <patternFill patternType="none"/>
      </fill>
    </dxf>
    <dxf>
      <font>
        <color rgb="FFFF0000"/>
      </font>
      <fill>
        <patternFill patternType="none"/>
      </fill>
    </dxf>
    <dxf>
      <font>
        <color rgb="FF000000"/>
      </font>
      <fill>
        <patternFill patternType="none"/>
      </fill>
    </dxf>
    <dxf>
      <font>
        <color rgb="FF0000FF"/>
      </font>
      <fill>
        <patternFill patternType="none"/>
      </fill>
    </dxf>
    <dxf>
      <font>
        <color rgb="FFFF0000"/>
      </font>
      <fill>
        <patternFill patternType="none"/>
      </fill>
    </dxf>
    <dxf>
      <font>
        <color rgb="FF000000"/>
      </font>
      <fill>
        <patternFill patternType="none"/>
      </fill>
    </dxf>
    <dxf>
      <font>
        <color rgb="FF0000FF"/>
      </font>
      <fill>
        <patternFill patternType="none"/>
      </fill>
    </dxf>
    <dxf>
      <font>
        <color rgb="FFFF0000"/>
      </font>
      <fill>
        <patternFill patternType="none"/>
      </fill>
    </dxf>
    <dxf>
      <font>
        <color rgb="FF000000"/>
      </font>
      <fill>
        <patternFill patternType="none"/>
      </fill>
    </dxf>
    <dxf>
      <font>
        <b/>
        <condense val="0"/>
        <extend val="0"/>
        <color indexed="12"/>
      </font>
    </dxf>
    <dxf>
      <font>
        <b/>
        <condense val="0"/>
        <extend val="0"/>
        <color indexed="10"/>
      </font>
    </dxf>
    <dxf>
      <font>
        <color rgb="FF0000FF"/>
      </font>
      <fill>
        <patternFill patternType="none"/>
      </fill>
    </dxf>
    <dxf>
      <font>
        <color rgb="FFFF0000"/>
      </font>
      <fill>
        <patternFill patternType="none"/>
      </fill>
    </dxf>
    <dxf>
      <font>
        <color rgb="FF000000"/>
      </font>
      <fill>
        <patternFill patternType="none"/>
      </fill>
    </dxf>
    <dxf>
      <font>
        <color rgb="FF0000FF"/>
      </font>
      <fill>
        <patternFill patternType="none"/>
      </fill>
    </dxf>
    <dxf>
      <font>
        <color rgb="FFFF0000"/>
      </font>
      <fill>
        <patternFill patternType="none"/>
      </fill>
    </dxf>
    <dxf>
      <font>
        <color rgb="FF000000"/>
      </font>
      <fill>
        <patternFill patternType="none"/>
      </fill>
    </dxf>
    <dxf>
      <font>
        <color rgb="FF0000FF"/>
      </font>
      <fill>
        <patternFill patternType="none"/>
      </fill>
    </dxf>
    <dxf>
      <font>
        <color rgb="FFFF0000"/>
      </font>
      <fill>
        <patternFill patternType="none"/>
      </fill>
    </dxf>
    <dxf>
      <fill>
        <patternFill patternType="none"/>
      </fill>
    </dxf>
    <dxf>
      <font>
        <b/>
        <condense val="0"/>
        <extend val="0"/>
        <color indexed="12"/>
      </font>
    </dxf>
    <dxf>
      <font>
        <b/>
        <condense val="0"/>
        <extend val="0"/>
        <color indexed="10"/>
      </font>
    </dxf>
    <dxf>
      <font>
        <color rgb="FF0000FF"/>
      </font>
      <fill>
        <patternFill patternType="none"/>
      </fill>
    </dxf>
    <dxf>
      <font>
        <color rgb="FFFF0000"/>
      </font>
      <fill>
        <patternFill patternType="none"/>
      </fill>
    </dxf>
    <dxf>
      <font>
        <color rgb="FF000000"/>
      </font>
      <fill>
        <patternFill patternType="none"/>
      </fill>
    </dxf>
    <dxf>
      <font>
        <color rgb="FF0000FF"/>
      </font>
      <fill>
        <patternFill patternType="none"/>
      </fill>
    </dxf>
    <dxf>
      <font>
        <color rgb="FFFF0000"/>
      </font>
      <fill>
        <patternFill patternType="none"/>
      </fill>
    </dxf>
    <dxf>
      <font>
        <color rgb="FF00000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NULL"/></Relationships>
</file>

<file path=xl/drawings/drawing1.xml><?xml version="1.0" encoding="utf-8"?>
<xdr:wsDr xmlns:xdr="http://schemas.openxmlformats.org/drawingml/2006/spreadsheetDrawing" xmlns:a="http://schemas.openxmlformats.org/drawingml/2006/main">
  <xdr:twoCellAnchor>
    <xdr:from>
      <xdr:col>0</xdr:col>
      <xdr:colOff>45720</xdr:colOff>
      <xdr:row>0</xdr:row>
      <xdr:rowOff>68580</xdr:rowOff>
    </xdr:from>
    <xdr:to>
      <xdr:col>1</xdr:col>
      <xdr:colOff>1087120</xdr:colOff>
      <xdr:row>2</xdr:row>
      <xdr:rowOff>64135</xdr:rowOff>
    </xdr:to>
    <xdr:pic>
      <xdr:nvPicPr>
        <xdr:cNvPr id="2" name="Picture 1">
          <a:extLst>
            <a:ext uri="{FF2B5EF4-FFF2-40B4-BE49-F238E27FC236}">
              <a16:creationId xmlns:a16="http://schemas.microsoft.com/office/drawing/2014/main" id="{8A4C6EA3-FF6D-46AA-940C-8A7FADADF009}"/>
            </a:ext>
          </a:extLst>
        </xdr:cNvPr>
        <xdr:cNvPicPr/>
      </xdr:nvPicPr>
      <xdr:blipFill>
        <a:blip xmlns:r="http://schemas.openxmlformats.org/officeDocument/2006/relationships" r:embed="rId1"/>
        <a:stretch/>
      </xdr:blipFill>
      <xdr:spPr bwMode="auto">
        <a:xfrm>
          <a:off x="45720" y="68580"/>
          <a:ext cx="1666240" cy="437515"/>
        </a:xfrm>
        <a:prstGeom prst="rect">
          <a:avLst/>
        </a:prstGeom>
        <a:noFill/>
        <a:ln>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
  <sheetViews>
    <sheetView topLeftCell="A7" workbookViewId="0">
      <selection activeCell="E19" sqref="E19"/>
    </sheetView>
  </sheetViews>
  <sheetFormatPr defaultColWidth="8.25" defaultRowHeight="12.75"/>
  <cols>
    <col min="1" max="1" width="8.25" style="30"/>
    <col min="2" max="2" width="14.875" style="30" customWidth="1"/>
    <col min="3" max="3" width="11.375" style="30" customWidth="1"/>
    <col min="4" max="4" width="12.75" style="30" customWidth="1"/>
    <col min="5" max="5" width="27.375" style="30" customWidth="1"/>
    <col min="6" max="6" width="19" style="30" customWidth="1"/>
    <col min="7" max="7" width="16.5" style="30" customWidth="1"/>
    <col min="8" max="8" width="7.25" style="30" customWidth="1"/>
    <col min="9" max="9" width="7.5" style="30" customWidth="1"/>
    <col min="10" max="257" width="8.25" style="30"/>
    <col min="258" max="258" width="14.875" style="30" customWidth="1"/>
    <col min="259" max="259" width="11.375" style="30" customWidth="1"/>
    <col min="260" max="260" width="12.75" style="30" customWidth="1"/>
    <col min="261" max="261" width="27.375" style="30" customWidth="1"/>
    <col min="262" max="262" width="19" style="30" customWidth="1"/>
    <col min="263" max="263" width="16.5" style="30" customWidth="1"/>
    <col min="264" max="264" width="7.25" style="30" customWidth="1"/>
    <col min="265" max="265" width="7.5" style="30" customWidth="1"/>
    <col min="266" max="513" width="8.25" style="30"/>
    <col min="514" max="514" width="14.875" style="30" customWidth="1"/>
    <col min="515" max="515" width="11.375" style="30" customWidth="1"/>
    <col min="516" max="516" width="12.75" style="30" customWidth="1"/>
    <col min="517" max="517" width="27.375" style="30" customWidth="1"/>
    <col min="518" max="518" width="19" style="30" customWidth="1"/>
    <col min="519" max="519" width="16.5" style="30" customWidth="1"/>
    <col min="520" max="520" width="7.25" style="30" customWidth="1"/>
    <col min="521" max="521" width="7.5" style="30" customWidth="1"/>
    <col min="522" max="769" width="8.25" style="30"/>
    <col min="770" max="770" width="14.875" style="30" customWidth="1"/>
    <col min="771" max="771" width="11.375" style="30" customWidth="1"/>
    <col min="772" max="772" width="12.75" style="30" customWidth="1"/>
    <col min="773" max="773" width="27.375" style="30" customWidth="1"/>
    <col min="774" max="774" width="19" style="30" customWidth="1"/>
    <col min="775" max="775" width="16.5" style="30" customWidth="1"/>
    <col min="776" max="776" width="7.25" style="30" customWidth="1"/>
    <col min="777" max="777" width="7.5" style="30" customWidth="1"/>
    <col min="778" max="1025" width="8.25" style="30"/>
    <col min="1026" max="1026" width="14.875" style="30" customWidth="1"/>
    <col min="1027" max="1027" width="11.375" style="30" customWidth="1"/>
    <col min="1028" max="1028" width="12.75" style="30" customWidth="1"/>
    <col min="1029" max="1029" width="27.375" style="30" customWidth="1"/>
    <col min="1030" max="1030" width="19" style="30" customWidth="1"/>
    <col min="1031" max="1031" width="16.5" style="30" customWidth="1"/>
    <col min="1032" max="1032" width="7.25" style="30" customWidth="1"/>
    <col min="1033" max="1033" width="7.5" style="30" customWidth="1"/>
    <col min="1034" max="1281" width="8.25" style="30"/>
    <col min="1282" max="1282" width="14.875" style="30" customWidth="1"/>
    <col min="1283" max="1283" width="11.375" style="30" customWidth="1"/>
    <col min="1284" max="1284" width="12.75" style="30" customWidth="1"/>
    <col min="1285" max="1285" width="27.375" style="30" customWidth="1"/>
    <col min="1286" max="1286" width="19" style="30" customWidth="1"/>
    <col min="1287" max="1287" width="16.5" style="30" customWidth="1"/>
    <col min="1288" max="1288" width="7.25" style="30" customWidth="1"/>
    <col min="1289" max="1289" width="7.5" style="30" customWidth="1"/>
    <col min="1290" max="1537" width="8.25" style="30"/>
    <col min="1538" max="1538" width="14.875" style="30" customWidth="1"/>
    <col min="1539" max="1539" width="11.375" style="30" customWidth="1"/>
    <col min="1540" max="1540" width="12.75" style="30" customWidth="1"/>
    <col min="1541" max="1541" width="27.375" style="30" customWidth="1"/>
    <col min="1542" max="1542" width="19" style="30" customWidth="1"/>
    <col min="1543" max="1543" width="16.5" style="30" customWidth="1"/>
    <col min="1544" max="1544" width="7.25" style="30" customWidth="1"/>
    <col min="1545" max="1545" width="7.5" style="30" customWidth="1"/>
    <col min="1546" max="1793" width="8.25" style="30"/>
    <col min="1794" max="1794" width="14.875" style="30" customWidth="1"/>
    <col min="1795" max="1795" width="11.375" style="30" customWidth="1"/>
    <col min="1796" max="1796" width="12.75" style="30" customWidth="1"/>
    <col min="1797" max="1797" width="27.375" style="30" customWidth="1"/>
    <col min="1798" max="1798" width="19" style="30" customWidth="1"/>
    <col min="1799" max="1799" width="16.5" style="30" customWidth="1"/>
    <col min="1800" max="1800" width="7.25" style="30" customWidth="1"/>
    <col min="1801" max="1801" width="7.5" style="30" customWidth="1"/>
    <col min="1802" max="2049" width="8.25" style="30"/>
    <col min="2050" max="2050" width="14.875" style="30" customWidth="1"/>
    <col min="2051" max="2051" width="11.375" style="30" customWidth="1"/>
    <col min="2052" max="2052" width="12.75" style="30" customWidth="1"/>
    <col min="2053" max="2053" width="27.375" style="30" customWidth="1"/>
    <col min="2054" max="2054" width="19" style="30" customWidth="1"/>
    <col min="2055" max="2055" width="16.5" style="30" customWidth="1"/>
    <col min="2056" max="2056" width="7.25" style="30" customWidth="1"/>
    <col min="2057" max="2057" width="7.5" style="30" customWidth="1"/>
    <col min="2058" max="2305" width="8.25" style="30"/>
    <col min="2306" max="2306" width="14.875" style="30" customWidth="1"/>
    <col min="2307" max="2307" width="11.375" style="30" customWidth="1"/>
    <col min="2308" max="2308" width="12.75" style="30" customWidth="1"/>
    <col min="2309" max="2309" width="27.375" style="30" customWidth="1"/>
    <col min="2310" max="2310" width="19" style="30" customWidth="1"/>
    <col min="2311" max="2311" width="16.5" style="30" customWidth="1"/>
    <col min="2312" max="2312" width="7.25" style="30" customWidth="1"/>
    <col min="2313" max="2313" width="7.5" style="30" customWidth="1"/>
    <col min="2314" max="2561" width="8.25" style="30"/>
    <col min="2562" max="2562" width="14.875" style="30" customWidth="1"/>
    <col min="2563" max="2563" width="11.375" style="30" customWidth="1"/>
    <col min="2564" max="2564" width="12.75" style="30" customWidth="1"/>
    <col min="2565" max="2565" width="27.375" style="30" customWidth="1"/>
    <col min="2566" max="2566" width="19" style="30" customWidth="1"/>
    <col min="2567" max="2567" width="16.5" style="30" customWidth="1"/>
    <col min="2568" max="2568" width="7.25" style="30" customWidth="1"/>
    <col min="2569" max="2569" width="7.5" style="30" customWidth="1"/>
    <col min="2570" max="2817" width="8.25" style="30"/>
    <col min="2818" max="2818" width="14.875" style="30" customWidth="1"/>
    <col min="2819" max="2819" width="11.375" style="30" customWidth="1"/>
    <col min="2820" max="2820" width="12.75" style="30" customWidth="1"/>
    <col min="2821" max="2821" width="27.375" style="30" customWidth="1"/>
    <col min="2822" max="2822" width="19" style="30" customWidth="1"/>
    <col min="2823" max="2823" width="16.5" style="30" customWidth="1"/>
    <col min="2824" max="2824" width="7.25" style="30" customWidth="1"/>
    <col min="2825" max="2825" width="7.5" style="30" customWidth="1"/>
    <col min="2826" max="3073" width="8.25" style="30"/>
    <col min="3074" max="3074" width="14.875" style="30" customWidth="1"/>
    <col min="3075" max="3075" width="11.375" style="30" customWidth="1"/>
    <col min="3076" max="3076" width="12.75" style="30" customWidth="1"/>
    <col min="3077" max="3077" width="27.375" style="30" customWidth="1"/>
    <col min="3078" max="3078" width="19" style="30" customWidth="1"/>
    <col min="3079" max="3079" width="16.5" style="30" customWidth="1"/>
    <col min="3080" max="3080" width="7.25" style="30" customWidth="1"/>
    <col min="3081" max="3081" width="7.5" style="30" customWidth="1"/>
    <col min="3082" max="3329" width="8.25" style="30"/>
    <col min="3330" max="3330" width="14.875" style="30" customWidth="1"/>
    <col min="3331" max="3331" width="11.375" style="30" customWidth="1"/>
    <col min="3332" max="3332" width="12.75" style="30" customWidth="1"/>
    <col min="3333" max="3333" width="27.375" style="30" customWidth="1"/>
    <col min="3334" max="3334" width="19" style="30" customWidth="1"/>
    <col min="3335" max="3335" width="16.5" style="30" customWidth="1"/>
    <col min="3336" max="3336" width="7.25" style="30" customWidth="1"/>
    <col min="3337" max="3337" width="7.5" style="30" customWidth="1"/>
    <col min="3338" max="3585" width="8.25" style="30"/>
    <col min="3586" max="3586" width="14.875" style="30" customWidth="1"/>
    <col min="3587" max="3587" width="11.375" style="30" customWidth="1"/>
    <col min="3588" max="3588" width="12.75" style="30" customWidth="1"/>
    <col min="3589" max="3589" width="27.375" style="30" customWidth="1"/>
    <col min="3590" max="3590" width="19" style="30" customWidth="1"/>
    <col min="3591" max="3591" width="16.5" style="30" customWidth="1"/>
    <col min="3592" max="3592" width="7.25" style="30" customWidth="1"/>
    <col min="3593" max="3593" width="7.5" style="30" customWidth="1"/>
    <col min="3594" max="3841" width="8.25" style="30"/>
    <col min="3842" max="3842" width="14.875" style="30" customWidth="1"/>
    <col min="3843" max="3843" width="11.375" style="30" customWidth="1"/>
    <col min="3844" max="3844" width="12.75" style="30" customWidth="1"/>
    <col min="3845" max="3845" width="27.375" style="30" customWidth="1"/>
    <col min="3846" max="3846" width="19" style="30" customWidth="1"/>
    <col min="3847" max="3847" width="16.5" style="30" customWidth="1"/>
    <col min="3848" max="3848" width="7.25" style="30" customWidth="1"/>
    <col min="3849" max="3849" width="7.5" style="30" customWidth="1"/>
    <col min="3850" max="4097" width="8.25" style="30"/>
    <col min="4098" max="4098" width="14.875" style="30" customWidth="1"/>
    <col min="4099" max="4099" width="11.375" style="30" customWidth="1"/>
    <col min="4100" max="4100" width="12.75" style="30" customWidth="1"/>
    <col min="4101" max="4101" width="27.375" style="30" customWidth="1"/>
    <col min="4102" max="4102" width="19" style="30" customWidth="1"/>
    <col min="4103" max="4103" width="16.5" style="30" customWidth="1"/>
    <col min="4104" max="4104" width="7.25" style="30" customWidth="1"/>
    <col min="4105" max="4105" width="7.5" style="30" customWidth="1"/>
    <col min="4106" max="4353" width="8.25" style="30"/>
    <col min="4354" max="4354" width="14.875" style="30" customWidth="1"/>
    <col min="4355" max="4355" width="11.375" style="30" customWidth="1"/>
    <col min="4356" max="4356" width="12.75" style="30" customWidth="1"/>
    <col min="4357" max="4357" width="27.375" style="30" customWidth="1"/>
    <col min="4358" max="4358" width="19" style="30" customWidth="1"/>
    <col min="4359" max="4359" width="16.5" style="30" customWidth="1"/>
    <col min="4360" max="4360" width="7.25" style="30" customWidth="1"/>
    <col min="4361" max="4361" width="7.5" style="30" customWidth="1"/>
    <col min="4362" max="4609" width="8.25" style="30"/>
    <col min="4610" max="4610" width="14.875" style="30" customWidth="1"/>
    <col min="4611" max="4611" width="11.375" style="30" customWidth="1"/>
    <col min="4612" max="4612" width="12.75" style="30" customWidth="1"/>
    <col min="4613" max="4613" width="27.375" style="30" customWidth="1"/>
    <col min="4614" max="4614" width="19" style="30" customWidth="1"/>
    <col min="4615" max="4615" width="16.5" style="30" customWidth="1"/>
    <col min="4616" max="4616" width="7.25" style="30" customWidth="1"/>
    <col min="4617" max="4617" width="7.5" style="30" customWidth="1"/>
    <col min="4618" max="4865" width="8.25" style="30"/>
    <col min="4866" max="4866" width="14.875" style="30" customWidth="1"/>
    <col min="4867" max="4867" width="11.375" style="30" customWidth="1"/>
    <col min="4868" max="4868" width="12.75" style="30" customWidth="1"/>
    <col min="4869" max="4869" width="27.375" style="30" customWidth="1"/>
    <col min="4870" max="4870" width="19" style="30" customWidth="1"/>
    <col min="4871" max="4871" width="16.5" style="30" customWidth="1"/>
    <col min="4872" max="4872" width="7.25" style="30" customWidth="1"/>
    <col min="4873" max="4873" width="7.5" style="30" customWidth="1"/>
    <col min="4874" max="5121" width="8.25" style="30"/>
    <col min="5122" max="5122" width="14.875" style="30" customWidth="1"/>
    <col min="5123" max="5123" width="11.375" style="30" customWidth="1"/>
    <col min="5124" max="5124" width="12.75" style="30" customWidth="1"/>
    <col min="5125" max="5125" width="27.375" style="30" customWidth="1"/>
    <col min="5126" max="5126" width="19" style="30" customWidth="1"/>
    <col min="5127" max="5127" width="16.5" style="30" customWidth="1"/>
    <col min="5128" max="5128" width="7.25" style="30" customWidth="1"/>
    <col min="5129" max="5129" width="7.5" style="30" customWidth="1"/>
    <col min="5130" max="5377" width="8.25" style="30"/>
    <col min="5378" max="5378" width="14.875" style="30" customWidth="1"/>
    <col min="5379" max="5379" width="11.375" style="30" customWidth="1"/>
    <col min="5380" max="5380" width="12.75" style="30" customWidth="1"/>
    <col min="5381" max="5381" width="27.375" style="30" customWidth="1"/>
    <col min="5382" max="5382" width="19" style="30" customWidth="1"/>
    <col min="5383" max="5383" width="16.5" style="30" customWidth="1"/>
    <col min="5384" max="5384" width="7.25" style="30" customWidth="1"/>
    <col min="5385" max="5385" width="7.5" style="30" customWidth="1"/>
    <col min="5386" max="5633" width="8.25" style="30"/>
    <col min="5634" max="5634" width="14.875" style="30" customWidth="1"/>
    <col min="5635" max="5635" width="11.375" style="30" customWidth="1"/>
    <col min="5636" max="5636" width="12.75" style="30" customWidth="1"/>
    <col min="5637" max="5637" width="27.375" style="30" customWidth="1"/>
    <col min="5638" max="5638" width="19" style="30" customWidth="1"/>
    <col min="5639" max="5639" width="16.5" style="30" customWidth="1"/>
    <col min="5640" max="5640" width="7.25" style="30" customWidth="1"/>
    <col min="5641" max="5641" width="7.5" style="30" customWidth="1"/>
    <col min="5642" max="5889" width="8.25" style="30"/>
    <col min="5890" max="5890" width="14.875" style="30" customWidth="1"/>
    <col min="5891" max="5891" width="11.375" style="30" customWidth="1"/>
    <col min="5892" max="5892" width="12.75" style="30" customWidth="1"/>
    <col min="5893" max="5893" width="27.375" style="30" customWidth="1"/>
    <col min="5894" max="5894" width="19" style="30" customWidth="1"/>
    <col min="5895" max="5895" width="16.5" style="30" customWidth="1"/>
    <col min="5896" max="5896" width="7.25" style="30" customWidth="1"/>
    <col min="5897" max="5897" width="7.5" style="30" customWidth="1"/>
    <col min="5898" max="6145" width="8.25" style="30"/>
    <col min="6146" max="6146" width="14.875" style="30" customWidth="1"/>
    <col min="6147" max="6147" width="11.375" style="30" customWidth="1"/>
    <col min="6148" max="6148" width="12.75" style="30" customWidth="1"/>
    <col min="6149" max="6149" width="27.375" style="30" customWidth="1"/>
    <col min="6150" max="6150" width="19" style="30" customWidth="1"/>
    <col min="6151" max="6151" width="16.5" style="30" customWidth="1"/>
    <col min="6152" max="6152" width="7.25" style="30" customWidth="1"/>
    <col min="6153" max="6153" width="7.5" style="30" customWidth="1"/>
    <col min="6154" max="6401" width="8.25" style="30"/>
    <col min="6402" max="6402" width="14.875" style="30" customWidth="1"/>
    <col min="6403" max="6403" width="11.375" style="30" customWidth="1"/>
    <col min="6404" max="6404" width="12.75" style="30" customWidth="1"/>
    <col min="6405" max="6405" width="27.375" style="30" customWidth="1"/>
    <col min="6406" max="6406" width="19" style="30" customWidth="1"/>
    <col min="6407" max="6407" width="16.5" style="30" customWidth="1"/>
    <col min="6408" max="6408" width="7.25" style="30" customWidth="1"/>
    <col min="6409" max="6409" width="7.5" style="30" customWidth="1"/>
    <col min="6410" max="6657" width="8.25" style="30"/>
    <col min="6658" max="6658" width="14.875" style="30" customWidth="1"/>
    <col min="6659" max="6659" width="11.375" style="30" customWidth="1"/>
    <col min="6660" max="6660" width="12.75" style="30" customWidth="1"/>
    <col min="6661" max="6661" width="27.375" style="30" customWidth="1"/>
    <col min="6662" max="6662" width="19" style="30" customWidth="1"/>
    <col min="6663" max="6663" width="16.5" style="30" customWidth="1"/>
    <col min="6664" max="6664" width="7.25" style="30" customWidth="1"/>
    <col min="6665" max="6665" width="7.5" style="30" customWidth="1"/>
    <col min="6666" max="6913" width="8.25" style="30"/>
    <col min="6914" max="6914" width="14.875" style="30" customWidth="1"/>
    <col min="6915" max="6915" width="11.375" style="30" customWidth="1"/>
    <col min="6916" max="6916" width="12.75" style="30" customWidth="1"/>
    <col min="6917" max="6917" width="27.375" style="30" customWidth="1"/>
    <col min="6918" max="6918" width="19" style="30" customWidth="1"/>
    <col min="6919" max="6919" width="16.5" style="30" customWidth="1"/>
    <col min="6920" max="6920" width="7.25" style="30" customWidth="1"/>
    <col min="6921" max="6921" width="7.5" style="30" customWidth="1"/>
    <col min="6922" max="7169" width="8.25" style="30"/>
    <col min="7170" max="7170" width="14.875" style="30" customWidth="1"/>
    <col min="7171" max="7171" width="11.375" style="30" customWidth="1"/>
    <col min="7172" max="7172" width="12.75" style="30" customWidth="1"/>
    <col min="7173" max="7173" width="27.375" style="30" customWidth="1"/>
    <col min="7174" max="7174" width="19" style="30" customWidth="1"/>
    <col min="7175" max="7175" width="16.5" style="30" customWidth="1"/>
    <col min="7176" max="7176" width="7.25" style="30" customWidth="1"/>
    <col min="7177" max="7177" width="7.5" style="30" customWidth="1"/>
    <col min="7178" max="7425" width="8.25" style="30"/>
    <col min="7426" max="7426" width="14.875" style="30" customWidth="1"/>
    <col min="7427" max="7427" width="11.375" style="30" customWidth="1"/>
    <col min="7428" max="7428" width="12.75" style="30" customWidth="1"/>
    <col min="7429" max="7429" width="27.375" style="30" customWidth="1"/>
    <col min="7430" max="7430" width="19" style="30" customWidth="1"/>
    <col min="7431" max="7431" width="16.5" style="30" customWidth="1"/>
    <col min="7432" max="7432" width="7.25" style="30" customWidth="1"/>
    <col min="7433" max="7433" width="7.5" style="30" customWidth="1"/>
    <col min="7434" max="7681" width="8.25" style="30"/>
    <col min="7682" max="7682" width="14.875" style="30" customWidth="1"/>
    <col min="7683" max="7683" width="11.375" style="30" customWidth="1"/>
    <col min="7684" max="7684" width="12.75" style="30" customWidth="1"/>
    <col min="7685" max="7685" width="27.375" style="30" customWidth="1"/>
    <col min="7686" max="7686" width="19" style="30" customWidth="1"/>
    <col min="7687" max="7687" width="16.5" style="30" customWidth="1"/>
    <col min="7688" max="7688" width="7.25" style="30" customWidth="1"/>
    <col min="7689" max="7689" width="7.5" style="30" customWidth="1"/>
    <col min="7690" max="7937" width="8.25" style="30"/>
    <col min="7938" max="7938" width="14.875" style="30" customWidth="1"/>
    <col min="7939" max="7939" width="11.375" style="30" customWidth="1"/>
    <col min="7940" max="7940" width="12.75" style="30" customWidth="1"/>
    <col min="7941" max="7941" width="27.375" style="30" customWidth="1"/>
    <col min="7942" max="7942" width="19" style="30" customWidth="1"/>
    <col min="7943" max="7943" width="16.5" style="30" customWidth="1"/>
    <col min="7944" max="7944" width="7.25" style="30" customWidth="1"/>
    <col min="7945" max="7945" width="7.5" style="30" customWidth="1"/>
    <col min="7946" max="8193" width="8.25" style="30"/>
    <col min="8194" max="8194" width="14.875" style="30" customWidth="1"/>
    <col min="8195" max="8195" width="11.375" style="30" customWidth="1"/>
    <col min="8196" max="8196" width="12.75" style="30" customWidth="1"/>
    <col min="8197" max="8197" width="27.375" style="30" customWidth="1"/>
    <col min="8198" max="8198" width="19" style="30" customWidth="1"/>
    <col min="8199" max="8199" width="16.5" style="30" customWidth="1"/>
    <col min="8200" max="8200" width="7.25" style="30" customWidth="1"/>
    <col min="8201" max="8201" width="7.5" style="30" customWidth="1"/>
    <col min="8202" max="8449" width="8.25" style="30"/>
    <col min="8450" max="8450" width="14.875" style="30" customWidth="1"/>
    <col min="8451" max="8451" width="11.375" style="30" customWidth="1"/>
    <col min="8452" max="8452" width="12.75" style="30" customWidth="1"/>
    <col min="8453" max="8453" width="27.375" style="30" customWidth="1"/>
    <col min="8454" max="8454" width="19" style="30" customWidth="1"/>
    <col min="8455" max="8455" width="16.5" style="30" customWidth="1"/>
    <col min="8456" max="8456" width="7.25" style="30" customWidth="1"/>
    <col min="8457" max="8457" width="7.5" style="30" customWidth="1"/>
    <col min="8458" max="8705" width="8.25" style="30"/>
    <col min="8706" max="8706" width="14.875" style="30" customWidth="1"/>
    <col min="8707" max="8707" width="11.375" style="30" customWidth="1"/>
    <col min="8708" max="8708" width="12.75" style="30" customWidth="1"/>
    <col min="8709" max="8709" width="27.375" style="30" customWidth="1"/>
    <col min="8710" max="8710" width="19" style="30" customWidth="1"/>
    <col min="8711" max="8711" width="16.5" style="30" customWidth="1"/>
    <col min="8712" max="8712" width="7.25" style="30" customWidth="1"/>
    <col min="8713" max="8713" width="7.5" style="30" customWidth="1"/>
    <col min="8714" max="8961" width="8.25" style="30"/>
    <col min="8962" max="8962" width="14.875" style="30" customWidth="1"/>
    <col min="8963" max="8963" width="11.375" style="30" customWidth="1"/>
    <col min="8964" max="8964" width="12.75" style="30" customWidth="1"/>
    <col min="8965" max="8965" width="27.375" style="30" customWidth="1"/>
    <col min="8966" max="8966" width="19" style="30" customWidth="1"/>
    <col min="8967" max="8967" width="16.5" style="30" customWidth="1"/>
    <col min="8968" max="8968" width="7.25" style="30" customWidth="1"/>
    <col min="8969" max="8969" width="7.5" style="30" customWidth="1"/>
    <col min="8970" max="9217" width="8.25" style="30"/>
    <col min="9218" max="9218" width="14.875" style="30" customWidth="1"/>
    <col min="9219" max="9219" width="11.375" style="30" customWidth="1"/>
    <col min="9220" max="9220" width="12.75" style="30" customWidth="1"/>
    <col min="9221" max="9221" width="27.375" style="30" customWidth="1"/>
    <col min="9222" max="9222" width="19" style="30" customWidth="1"/>
    <col min="9223" max="9223" width="16.5" style="30" customWidth="1"/>
    <col min="9224" max="9224" width="7.25" style="30" customWidth="1"/>
    <col min="9225" max="9225" width="7.5" style="30" customWidth="1"/>
    <col min="9226" max="9473" width="8.25" style="30"/>
    <col min="9474" max="9474" width="14.875" style="30" customWidth="1"/>
    <col min="9475" max="9475" width="11.375" style="30" customWidth="1"/>
    <col min="9476" max="9476" width="12.75" style="30" customWidth="1"/>
    <col min="9477" max="9477" width="27.375" style="30" customWidth="1"/>
    <col min="9478" max="9478" width="19" style="30" customWidth="1"/>
    <col min="9479" max="9479" width="16.5" style="30" customWidth="1"/>
    <col min="9480" max="9480" width="7.25" style="30" customWidth="1"/>
    <col min="9481" max="9481" width="7.5" style="30" customWidth="1"/>
    <col min="9482" max="9729" width="8.25" style="30"/>
    <col min="9730" max="9730" width="14.875" style="30" customWidth="1"/>
    <col min="9731" max="9731" width="11.375" style="30" customWidth="1"/>
    <col min="9732" max="9732" width="12.75" style="30" customWidth="1"/>
    <col min="9733" max="9733" width="27.375" style="30" customWidth="1"/>
    <col min="9734" max="9734" width="19" style="30" customWidth="1"/>
    <col min="9735" max="9735" width="16.5" style="30" customWidth="1"/>
    <col min="9736" max="9736" width="7.25" style="30" customWidth="1"/>
    <col min="9737" max="9737" width="7.5" style="30" customWidth="1"/>
    <col min="9738" max="9985" width="8.25" style="30"/>
    <col min="9986" max="9986" width="14.875" style="30" customWidth="1"/>
    <col min="9987" max="9987" width="11.375" style="30" customWidth="1"/>
    <col min="9988" max="9988" width="12.75" style="30" customWidth="1"/>
    <col min="9989" max="9989" width="27.375" style="30" customWidth="1"/>
    <col min="9990" max="9990" width="19" style="30" customWidth="1"/>
    <col min="9991" max="9991" width="16.5" style="30" customWidth="1"/>
    <col min="9992" max="9992" width="7.25" style="30" customWidth="1"/>
    <col min="9993" max="9993" width="7.5" style="30" customWidth="1"/>
    <col min="9994" max="10241" width="8.25" style="30"/>
    <col min="10242" max="10242" width="14.875" style="30" customWidth="1"/>
    <col min="10243" max="10243" width="11.375" style="30" customWidth="1"/>
    <col min="10244" max="10244" width="12.75" style="30" customWidth="1"/>
    <col min="10245" max="10245" width="27.375" style="30" customWidth="1"/>
    <col min="10246" max="10246" width="19" style="30" customWidth="1"/>
    <col min="10247" max="10247" width="16.5" style="30" customWidth="1"/>
    <col min="10248" max="10248" width="7.25" style="30" customWidth="1"/>
    <col min="10249" max="10249" width="7.5" style="30" customWidth="1"/>
    <col min="10250" max="10497" width="8.25" style="30"/>
    <col min="10498" max="10498" width="14.875" style="30" customWidth="1"/>
    <col min="10499" max="10499" width="11.375" style="30" customWidth="1"/>
    <col min="10500" max="10500" width="12.75" style="30" customWidth="1"/>
    <col min="10501" max="10501" width="27.375" style="30" customWidth="1"/>
    <col min="10502" max="10502" width="19" style="30" customWidth="1"/>
    <col min="10503" max="10503" width="16.5" style="30" customWidth="1"/>
    <col min="10504" max="10504" width="7.25" style="30" customWidth="1"/>
    <col min="10505" max="10505" width="7.5" style="30" customWidth="1"/>
    <col min="10506" max="10753" width="8.25" style="30"/>
    <col min="10754" max="10754" width="14.875" style="30" customWidth="1"/>
    <col min="10755" max="10755" width="11.375" style="30" customWidth="1"/>
    <col min="10756" max="10756" width="12.75" style="30" customWidth="1"/>
    <col min="10757" max="10757" width="27.375" style="30" customWidth="1"/>
    <col min="10758" max="10758" width="19" style="30" customWidth="1"/>
    <col min="10759" max="10759" width="16.5" style="30" customWidth="1"/>
    <col min="10760" max="10760" width="7.25" style="30" customWidth="1"/>
    <col min="10761" max="10761" width="7.5" style="30" customWidth="1"/>
    <col min="10762" max="11009" width="8.25" style="30"/>
    <col min="11010" max="11010" width="14.875" style="30" customWidth="1"/>
    <col min="11011" max="11011" width="11.375" style="30" customWidth="1"/>
    <col min="11012" max="11012" width="12.75" style="30" customWidth="1"/>
    <col min="11013" max="11013" width="27.375" style="30" customWidth="1"/>
    <col min="11014" max="11014" width="19" style="30" customWidth="1"/>
    <col min="11015" max="11015" width="16.5" style="30" customWidth="1"/>
    <col min="11016" max="11016" width="7.25" style="30" customWidth="1"/>
    <col min="11017" max="11017" width="7.5" style="30" customWidth="1"/>
    <col min="11018" max="11265" width="8.25" style="30"/>
    <col min="11266" max="11266" width="14.875" style="30" customWidth="1"/>
    <col min="11267" max="11267" width="11.375" style="30" customWidth="1"/>
    <col min="11268" max="11268" width="12.75" style="30" customWidth="1"/>
    <col min="11269" max="11269" width="27.375" style="30" customWidth="1"/>
    <col min="11270" max="11270" width="19" style="30" customWidth="1"/>
    <col min="11271" max="11271" width="16.5" style="30" customWidth="1"/>
    <col min="11272" max="11272" width="7.25" style="30" customWidth="1"/>
    <col min="11273" max="11273" width="7.5" style="30" customWidth="1"/>
    <col min="11274" max="11521" width="8.25" style="30"/>
    <col min="11522" max="11522" width="14.875" style="30" customWidth="1"/>
    <col min="11523" max="11523" width="11.375" style="30" customWidth="1"/>
    <col min="11524" max="11524" width="12.75" style="30" customWidth="1"/>
    <col min="11525" max="11525" width="27.375" style="30" customWidth="1"/>
    <col min="11526" max="11526" width="19" style="30" customWidth="1"/>
    <col min="11527" max="11527" width="16.5" style="30" customWidth="1"/>
    <col min="11528" max="11528" width="7.25" style="30" customWidth="1"/>
    <col min="11529" max="11529" width="7.5" style="30" customWidth="1"/>
    <col min="11530" max="11777" width="8.25" style="30"/>
    <col min="11778" max="11778" width="14.875" style="30" customWidth="1"/>
    <col min="11779" max="11779" width="11.375" style="30" customWidth="1"/>
    <col min="11780" max="11780" width="12.75" style="30" customWidth="1"/>
    <col min="11781" max="11781" width="27.375" style="30" customWidth="1"/>
    <col min="11782" max="11782" width="19" style="30" customWidth="1"/>
    <col min="11783" max="11783" width="16.5" style="30" customWidth="1"/>
    <col min="11784" max="11784" width="7.25" style="30" customWidth="1"/>
    <col min="11785" max="11785" width="7.5" style="30" customWidth="1"/>
    <col min="11786" max="12033" width="8.25" style="30"/>
    <col min="12034" max="12034" width="14.875" style="30" customWidth="1"/>
    <col min="12035" max="12035" width="11.375" style="30" customWidth="1"/>
    <col min="12036" max="12036" width="12.75" style="30" customWidth="1"/>
    <col min="12037" max="12037" width="27.375" style="30" customWidth="1"/>
    <col min="12038" max="12038" width="19" style="30" customWidth="1"/>
    <col min="12039" max="12039" width="16.5" style="30" customWidth="1"/>
    <col min="12040" max="12040" width="7.25" style="30" customWidth="1"/>
    <col min="12041" max="12041" width="7.5" style="30" customWidth="1"/>
    <col min="12042" max="12289" width="8.25" style="30"/>
    <col min="12290" max="12290" width="14.875" style="30" customWidth="1"/>
    <col min="12291" max="12291" width="11.375" style="30" customWidth="1"/>
    <col min="12292" max="12292" width="12.75" style="30" customWidth="1"/>
    <col min="12293" max="12293" width="27.375" style="30" customWidth="1"/>
    <col min="12294" max="12294" width="19" style="30" customWidth="1"/>
    <col min="12295" max="12295" width="16.5" style="30" customWidth="1"/>
    <col min="12296" max="12296" width="7.25" style="30" customWidth="1"/>
    <col min="12297" max="12297" width="7.5" style="30" customWidth="1"/>
    <col min="12298" max="12545" width="8.25" style="30"/>
    <col min="12546" max="12546" width="14.875" style="30" customWidth="1"/>
    <col min="12547" max="12547" width="11.375" style="30" customWidth="1"/>
    <col min="12548" max="12548" width="12.75" style="30" customWidth="1"/>
    <col min="12549" max="12549" width="27.375" style="30" customWidth="1"/>
    <col min="12550" max="12550" width="19" style="30" customWidth="1"/>
    <col min="12551" max="12551" width="16.5" style="30" customWidth="1"/>
    <col min="12552" max="12552" width="7.25" style="30" customWidth="1"/>
    <col min="12553" max="12553" width="7.5" style="30" customWidth="1"/>
    <col min="12554" max="12801" width="8.25" style="30"/>
    <col min="12802" max="12802" width="14.875" style="30" customWidth="1"/>
    <col min="12803" max="12803" width="11.375" style="30" customWidth="1"/>
    <col min="12804" max="12804" width="12.75" style="30" customWidth="1"/>
    <col min="12805" max="12805" width="27.375" style="30" customWidth="1"/>
    <col min="12806" max="12806" width="19" style="30" customWidth="1"/>
    <col min="12807" max="12807" width="16.5" style="30" customWidth="1"/>
    <col min="12808" max="12808" width="7.25" style="30" customWidth="1"/>
    <col min="12809" max="12809" width="7.5" style="30" customWidth="1"/>
    <col min="12810" max="13057" width="8.25" style="30"/>
    <col min="13058" max="13058" width="14.875" style="30" customWidth="1"/>
    <col min="13059" max="13059" width="11.375" style="30" customWidth="1"/>
    <col min="13060" max="13060" width="12.75" style="30" customWidth="1"/>
    <col min="13061" max="13061" width="27.375" style="30" customWidth="1"/>
    <col min="13062" max="13062" width="19" style="30" customWidth="1"/>
    <col min="13063" max="13063" width="16.5" style="30" customWidth="1"/>
    <col min="13064" max="13064" width="7.25" style="30" customWidth="1"/>
    <col min="13065" max="13065" width="7.5" style="30" customWidth="1"/>
    <col min="13066" max="13313" width="8.25" style="30"/>
    <col min="13314" max="13314" width="14.875" style="30" customWidth="1"/>
    <col min="13315" max="13315" width="11.375" style="30" customWidth="1"/>
    <col min="13316" max="13316" width="12.75" style="30" customWidth="1"/>
    <col min="13317" max="13317" width="27.375" style="30" customWidth="1"/>
    <col min="13318" max="13318" width="19" style="30" customWidth="1"/>
    <col min="13319" max="13319" width="16.5" style="30" customWidth="1"/>
    <col min="13320" max="13320" width="7.25" style="30" customWidth="1"/>
    <col min="13321" max="13321" width="7.5" style="30" customWidth="1"/>
    <col min="13322" max="13569" width="8.25" style="30"/>
    <col min="13570" max="13570" width="14.875" style="30" customWidth="1"/>
    <col min="13571" max="13571" width="11.375" style="30" customWidth="1"/>
    <col min="13572" max="13572" width="12.75" style="30" customWidth="1"/>
    <col min="13573" max="13573" width="27.375" style="30" customWidth="1"/>
    <col min="13574" max="13574" width="19" style="30" customWidth="1"/>
    <col min="13575" max="13575" width="16.5" style="30" customWidth="1"/>
    <col min="13576" max="13576" width="7.25" style="30" customWidth="1"/>
    <col min="13577" max="13577" width="7.5" style="30" customWidth="1"/>
    <col min="13578" max="13825" width="8.25" style="30"/>
    <col min="13826" max="13826" width="14.875" style="30" customWidth="1"/>
    <col min="13827" max="13827" width="11.375" style="30" customWidth="1"/>
    <col min="13828" max="13828" width="12.75" style="30" customWidth="1"/>
    <col min="13829" max="13829" width="27.375" style="30" customWidth="1"/>
    <col min="13830" max="13830" width="19" style="30" customWidth="1"/>
    <col min="13831" max="13831" width="16.5" style="30" customWidth="1"/>
    <col min="13832" max="13832" width="7.25" style="30" customWidth="1"/>
    <col min="13833" max="13833" width="7.5" style="30" customWidth="1"/>
    <col min="13834" max="14081" width="8.25" style="30"/>
    <col min="14082" max="14082" width="14.875" style="30" customWidth="1"/>
    <col min="14083" max="14083" width="11.375" style="30" customWidth="1"/>
    <col min="14084" max="14084" width="12.75" style="30" customWidth="1"/>
    <col min="14085" max="14085" width="27.375" style="30" customWidth="1"/>
    <col min="14086" max="14086" width="19" style="30" customWidth="1"/>
    <col min="14087" max="14087" width="16.5" style="30" customWidth="1"/>
    <col min="14088" max="14088" width="7.25" style="30" customWidth="1"/>
    <col min="14089" max="14089" width="7.5" style="30" customWidth="1"/>
    <col min="14090" max="14337" width="8.25" style="30"/>
    <col min="14338" max="14338" width="14.875" style="30" customWidth="1"/>
    <col min="14339" max="14339" width="11.375" style="30" customWidth="1"/>
    <col min="14340" max="14340" width="12.75" style="30" customWidth="1"/>
    <col min="14341" max="14341" width="27.375" style="30" customWidth="1"/>
    <col min="14342" max="14342" width="19" style="30" customWidth="1"/>
    <col min="14343" max="14343" width="16.5" style="30" customWidth="1"/>
    <col min="14344" max="14344" width="7.25" style="30" customWidth="1"/>
    <col min="14345" max="14345" width="7.5" style="30" customWidth="1"/>
    <col min="14346" max="14593" width="8.25" style="30"/>
    <col min="14594" max="14594" width="14.875" style="30" customWidth="1"/>
    <col min="14595" max="14595" width="11.375" style="30" customWidth="1"/>
    <col min="14596" max="14596" width="12.75" style="30" customWidth="1"/>
    <col min="14597" max="14597" width="27.375" style="30" customWidth="1"/>
    <col min="14598" max="14598" width="19" style="30" customWidth="1"/>
    <col min="14599" max="14599" width="16.5" style="30" customWidth="1"/>
    <col min="14600" max="14600" width="7.25" style="30" customWidth="1"/>
    <col min="14601" max="14601" width="7.5" style="30" customWidth="1"/>
    <col min="14602" max="14849" width="8.25" style="30"/>
    <col min="14850" max="14850" width="14.875" style="30" customWidth="1"/>
    <col min="14851" max="14851" width="11.375" style="30" customWidth="1"/>
    <col min="14852" max="14852" width="12.75" style="30" customWidth="1"/>
    <col min="14853" max="14853" width="27.375" style="30" customWidth="1"/>
    <col min="14854" max="14854" width="19" style="30" customWidth="1"/>
    <col min="14855" max="14855" width="16.5" style="30" customWidth="1"/>
    <col min="14856" max="14856" width="7.25" style="30" customWidth="1"/>
    <col min="14857" max="14857" width="7.5" style="30" customWidth="1"/>
    <col min="14858" max="15105" width="8.25" style="30"/>
    <col min="15106" max="15106" width="14.875" style="30" customWidth="1"/>
    <col min="15107" max="15107" width="11.375" style="30" customWidth="1"/>
    <col min="15108" max="15108" width="12.75" style="30" customWidth="1"/>
    <col min="15109" max="15109" width="27.375" style="30" customWidth="1"/>
    <col min="15110" max="15110" width="19" style="30" customWidth="1"/>
    <col min="15111" max="15111" width="16.5" style="30" customWidth="1"/>
    <col min="15112" max="15112" width="7.25" style="30" customWidth="1"/>
    <col min="15113" max="15113" width="7.5" style="30" customWidth="1"/>
    <col min="15114" max="15361" width="8.25" style="30"/>
    <col min="15362" max="15362" width="14.875" style="30" customWidth="1"/>
    <col min="15363" max="15363" width="11.375" style="30" customWidth="1"/>
    <col min="15364" max="15364" width="12.75" style="30" customWidth="1"/>
    <col min="15365" max="15365" width="27.375" style="30" customWidth="1"/>
    <col min="15366" max="15366" width="19" style="30" customWidth="1"/>
    <col min="15367" max="15367" width="16.5" style="30" customWidth="1"/>
    <col min="15368" max="15368" width="7.25" style="30" customWidth="1"/>
    <col min="15369" max="15369" width="7.5" style="30" customWidth="1"/>
    <col min="15370" max="15617" width="8.25" style="30"/>
    <col min="15618" max="15618" width="14.875" style="30" customWidth="1"/>
    <col min="15619" max="15619" width="11.375" style="30" customWidth="1"/>
    <col min="15620" max="15620" width="12.75" style="30" customWidth="1"/>
    <col min="15621" max="15621" width="27.375" style="30" customWidth="1"/>
    <col min="15622" max="15622" width="19" style="30" customWidth="1"/>
    <col min="15623" max="15623" width="16.5" style="30" customWidth="1"/>
    <col min="15624" max="15624" width="7.25" style="30" customWidth="1"/>
    <col min="15625" max="15625" width="7.5" style="30" customWidth="1"/>
    <col min="15626" max="15873" width="8.25" style="30"/>
    <col min="15874" max="15874" width="14.875" style="30" customWidth="1"/>
    <col min="15875" max="15875" width="11.375" style="30" customWidth="1"/>
    <col min="15876" max="15876" width="12.75" style="30" customWidth="1"/>
    <col min="15877" max="15877" width="27.375" style="30" customWidth="1"/>
    <col min="15878" max="15878" width="19" style="30" customWidth="1"/>
    <col min="15879" max="15879" width="16.5" style="30" customWidth="1"/>
    <col min="15880" max="15880" width="7.25" style="30" customWidth="1"/>
    <col min="15881" max="15881" width="7.5" style="30" customWidth="1"/>
    <col min="15882" max="16129" width="8.25" style="30"/>
    <col min="16130" max="16130" width="14.875" style="30" customWidth="1"/>
    <col min="16131" max="16131" width="11.375" style="30" customWidth="1"/>
    <col min="16132" max="16132" width="12.75" style="30" customWidth="1"/>
    <col min="16133" max="16133" width="27.375" style="30" customWidth="1"/>
    <col min="16134" max="16134" width="19" style="30" customWidth="1"/>
    <col min="16135" max="16135" width="16.5" style="30" customWidth="1"/>
    <col min="16136" max="16136" width="7.25" style="30" customWidth="1"/>
    <col min="16137" max="16137" width="7.5" style="30" customWidth="1"/>
    <col min="16138" max="16384" width="8.25" style="30"/>
  </cols>
  <sheetData>
    <row r="1" spans="1:10" ht="18.75">
      <c r="A1" s="24"/>
      <c r="B1" s="25"/>
      <c r="C1" s="25"/>
      <c r="D1" s="26"/>
      <c r="E1" s="27" t="s">
        <v>26</v>
      </c>
      <c r="F1" s="28"/>
      <c r="G1" s="25"/>
      <c r="H1" s="25"/>
      <c r="I1" s="29"/>
    </row>
    <row r="2" spans="1:10" ht="18.75">
      <c r="A2" s="31"/>
      <c r="B2" s="32"/>
      <c r="C2" s="32"/>
      <c r="D2" s="33"/>
      <c r="E2" s="32" t="s">
        <v>27</v>
      </c>
      <c r="F2" s="34"/>
      <c r="G2" s="32"/>
      <c r="H2" s="32"/>
      <c r="I2" s="35"/>
    </row>
    <row r="3" spans="1:10">
      <c r="A3" s="31"/>
      <c r="B3" s="32"/>
      <c r="C3" s="32"/>
      <c r="D3" s="32"/>
      <c r="E3" s="32"/>
      <c r="F3" s="32"/>
      <c r="G3" s="32"/>
      <c r="H3" s="32"/>
      <c r="I3" s="35"/>
    </row>
    <row r="4" spans="1:10">
      <c r="A4" s="31"/>
      <c r="B4" s="32"/>
      <c r="C4" s="32"/>
      <c r="D4" s="32"/>
      <c r="E4" s="32"/>
      <c r="F4" s="32"/>
      <c r="G4" s="32"/>
      <c r="H4" s="32"/>
      <c r="I4" s="35"/>
    </row>
    <row r="5" spans="1:10">
      <c r="A5" s="31"/>
      <c r="B5" s="32"/>
      <c r="C5" s="32"/>
      <c r="D5" s="32"/>
      <c r="E5" s="32"/>
      <c r="F5" s="32"/>
      <c r="G5" s="32"/>
      <c r="H5" s="32"/>
      <c r="I5" s="35"/>
    </row>
    <row r="6" spans="1:10">
      <c r="A6" s="31"/>
      <c r="B6" s="32"/>
      <c r="C6" s="32"/>
      <c r="D6" s="32"/>
      <c r="E6" s="32"/>
      <c r="F6" s="32"/>
      <c r="G6" s="32"/>
      <c r="H6" s="32"/>
      <c r="I6" s="35"/>
    </row>
    <row r="7" spans="1:10">
      <c r="A7" s="31"/>
      <c r="B7" s="32"/>
      <c r="C7" s="32"/>
      <c r="D7" s="32"/>
      <c r="E7" s="32"/>
      <c r="F7" s="32"/>
      <c r="G7" s="32"/>
      <c r="H7" s="32"/>
      <c r="I7" s="35"/>
    </row>
    <row r="8" spans="1:10">
      <c r="A8" s="31"/>
      <c r="B8" s="32"/>
      <c r="C8" s="32"/>
      <c r="D8" s="32"/>
      <c r="E8" s="32"/>
      <c r="F8" s="32"/>
      <c r="G8" s="32"/>
      <c r="H8" s="32"/>
      <c r="I8" s="35"/>
    </row>
    <row r="9" spans="1:10" ht="23.25">
      <c r="A9" s="146" t="s">
        <v>76</v>
      </c>
      <c r="B9" s="147"/>
      <c r="C9" s="147"/>
      <c r="D9" s="147"/>
      <c r="E9" s="147"/>
      <c r="F9" s="147"/>
      <c r="G9" s="147"/>
      <c r="H9" s="147"/>
      <c r="I9" s="148"/>
    </row>
    <row r="10" spans="1:10" ht="30">
      <c r="A10" s="149" t="s">
        <v>28</v>
      </c>
      <c r="B10" s="150"/>
      <c r="C10" s="150"/>
      <c r="D10" s="150"/>
      <c r="E10" s="150"/>
      <c r="F10" s="150"/>
      <c r="G10" s="150"/>
      <c r="H10" s="150"/>
      <c r="I10" s="151"/>
      <c r="J10" s="36"/>
    </row>
    <row r="11" spans="1:10" ht="26.25">
      <c r="A11" s="152"/>
      <c r="B11" s="153"/>
      <c r="C11" s="153"/>
      <c r="D11" s="153"/>
      <c r="E11" s="153"/>
      <c r="F11" s="153"/>
      <c r="G11" s="153"/>
      <c r="H11" s="153"/>
      <c r="I11" s="154"/>
    </row>
    <row r="12" spans="1:10">
      <c r="A12" s="31"/>
      <c r="B12" s="32"/>
      <c r="C12" s="32"/>
      <c r="D12" s="32"/>
      <c r="E12" s="32"/>
      <c r="F12" s="32"/>
      <c r="G12" s="32"/>
      <c r="H12" s="32"/>
      <c r="I12" s="35"/>
    </row>
    <row r="13" spans="1:10">
      <c r="A13" s="31"/>
      <c r="B13" s="32"/>
      <c r="C13" s="32"/>
      <c r="D13" s="32"/>
      <c r="E13" s="32"/>
      <c r="F13" s="32"/>
      <c r="G13" s="32"/>
      <c r="H13" s="32"/>
      <c r="I13" s="35"/>
    </row>
    <row r="14" spans="1:10">
      <c r="A14" s="31"/>
      <c r="B14" s="32"/>
      <c r="C14" s="32"/>
      <c r="D14" s="32"/>
      <c r="E14" s="32"/>
      <c r="F14" s="32"/>
      <c r="G14" s="32"/>
      <c r="H14" s="32"/>
      <c r="I14" s="35"/>
    </row>
    <row r="15" spans="1:10">
      <c r="A15" s="31"/>
      <c r="B15" s="32"/>
      <c r="C15" s="32"/>
      <c r="D15" s="32"/>
      <c r="E15" s="32"/>
      <c r="F15" s="37"/>
      <c r="G15" s="32"/>
      <c r="H15" s="32"/>
      <c r="I15" s="35"/>
    </row>
    <row r="16" spans="1:10" ht="17.25" customHeight="1">
      <c r="A16" s="31"/>
      <c r="B16" s="32"/>
      <c r="C16" s="38" t="s">
        <v>29</v>
      </c>
      <c r="D16" s="38" t="s">
        <v>30</v>
      </c>
      <c r="E16" s="39"/>
      <c r="F16" s="32"/>
      <c r="G16" s="32"/>
      <c r="H16" s="32"/>
      <c r="I16" s="35"/>
    </row>
    <row r="17" spans="1:9">
      <c r="A17" s="40"/>
      <c r="B17" s="37"/>
      <c r="C17" s="38" t="s">
        <v>31</v>
      </c>
      <c r="D17" s="38" t="s">
        <v>30</v>
      </c>
      <c r="E17" s="39"/>
      <c r="F17" s="37"/>
      <c r="G17" s="37"/>
      <c r="H17" s="37"/>
      <c r="I17" s="41"/>
    </row>
    <row r="18" spans="1:9" ht="18.75" customHeight="1">
      <c r="A18" s="31"/>
      <c r="B18" s="32"/>
      <c r="C18" s="38"/>
      <c r="D18" s="38"/>
      <c r="E18" s="42"/>
      <c r="F18" s="32"/>
      <c r="G18" s="32"/>
      <c r="H18" s="32"/>
      <c r="I18" s="35"/>
    </row>
    <row r="19" spans="1:9" ht="18.75" customHeight="1">
      <c r="A19" s="31"/>
      <c r="B19" s="32"/>
      <c r="C19" s="38"/>
      <c r="D19" s="38"/>
      <c r="E19" s="42"/>
      <c r="F19" s="32"/>
      <c r="G19" s="32"/>
      <c r="H19" s="32"/>
      <c r="I19" s="35"/>
    </row>
    <row r="20" spans="1:9" ht="13.5">
      <c r="A20" s="43" t="s">
        <v>32</v>
      </c>
      <c r="B20" s="38"/>
      <c r="C20" s="44"/>
      <c r="D20" s="38"/>
      <c r="E20" s="38"/>
      <c r="F20" s="38"/>
      <c r="G20" s="38"/>
      <c r="H20" s="38"/>
      <c r="I20" s="45"/>
    </row>
    <row r="21" spans="1:9">
      <c r="A21" s="46"/>
      <c r="B21" s="38"/>
      <c r="C21" s="38" t="s">
        <v>33</v>
      </c>
      <c r="D21" s="38"/>
      <c r="F21" s="38" t="s">
        <v>34</v>
      </c>
      <c r="H21" s="47"/>
      <c r="I21" s="45"/>
    </row>
    <row r="22" spans="1:9">
      <c r="A22" s="48"/>
      <c r="B22" s="38"/>
      <c r="C22" s="38" t="s">
        <v>35</v>
      </c>
      <c r="D22" s="38"/>
      <c r="F22" s="38"/>
      <c r="H22" s="38"/>
      <c r="I22" s="45"/>
    </row>
    <row r="23" spans="1:9">
      <c r="A23" s="46"/>
      <c r="B23" s="38"/>
      <c r="C23" s="38"/>
      <c r="D23" s="38"/>
      <c r="F23" s="38"/>
      <c r="H23" s="38"/>
      <c r="I23" s="45"/>
    </row>
    <row r="24" spans="1:9" ht="13.5">
      <c r="A24" s="43"/>
      <c r="B24" s="38"/>
      <c r="C24" s="38"/>
      <c r="D24" s="38"/>
      <c r="F24" s="38"/>
      <c r="H24" s="38"/>
      <c r="I24" s="45"/>
    </row>
    <row r="25" spans="1:9" ht="13.5">
      <c r="A25" s="43"/>
      <c r="B25" s="38"/>
      <c r="C25" s="38"/>
      <c r="D25" s="38"/>
      <c r="F25" s="38"/>
      <c r="H25" s="38"/>
      <c r="I25" s="45"/>
    </row>
    <row r="26" spans="1:9" ht="13.5">
      <c r="A26" s="43" t="s">
        <v>36</v>
      </c>
      <c r="B26" s="38"/>
      <c r="C26" s="38"/>
      <c r="D26" s="38"/>
      <c r="F26" s="38"/>
      <c r="H26" s="38"/>
      <c r="I26" s="45"/>
    </row>
    <row r="27" spans="1:9">
      <c r="A27" s="46"/>
      <c r="B27" s="38"/>
      <c r="C27" s="44" t="s">
        <v>37</v>
      </c>
      <c r="D27" s="38"/>
      <c r="F27" s="38" t="s">
        <v>38</v>
      </c>
      <c r="H27" s="38"/>
      <c r="I27" s="45"/>
    </row>
    <row r="28" spans="1:9">
      <c r="A28" s="46"/>
      <c r="B28" s="38"/>
      <c r="C28" s="38" t="s">
        <v>35</v>
      </c>
      <c r="D28" s="38"/>
      <c r="F28" s="47"/>
      <c r="H28" s="38"/>
      <c r="I28" s="45"/>
    </row>
    <row r="29" spans="1:9">
      <c r="A29" s="46"/>
      <c r="B29" s="38"/>
      <c r="C29" s="38"/>
      <c r="D29" s="38"/>
      <c r="F29" s="38"/>
      <c r="H29" s="38"/>
      <c r="I29" s="45"/>
    </row>
    <row r="30" spans="1:9">
      <c r="A30" s="46"/>
      <c r="B30" s="38"/>
      <c r="C30" s="38"/>
      <c r="D30" s="38"/>
      <c r="F30" s="38"/>
      <c r="H30" s="38"/>
      <c r="I30" s="45"/>
    </row>
    <row r="31" spans="1:9">
      <c r="A31" s="46"/>
      <c r="B31" s="38"/>
      <c r="C31" s="38"/>
      <c r="D31" s="38"/>
      <c r="F31" s="38"/>
      <c r="H31" s="38"/>
      <c r="I31" s="45"/>
    </row>
    <row r="32" spans="1:9" ht="13.5">
      <c r="A32" s="43" t="s">
        <v>39</v>
      </c>
      <c r="B32" s="38"/>
      <c r="C32" s="38"/>
      <c r="D32" s="38"/>
      <c r="F32" s="38"/>
      <c r="H32" s="38"/>
      <c r="I32" s="45"/>
    </row>
    <row r="33" spans="1:9">
      <c r="A33" s="49"/>
      <c r="B33" s="38"/>
      <c r="C33" s="44" t="s">
        <v>40</v>
      </c>
      <c r="D33" s="38"/>
      <c r="F33" s="38" t="s">
        <v>41</v>
      </c>
      <c r="H33" s="38"/>
      <c r="I33" s="45"/>
    </row>
    <row r="34" spans="1:9">
      <c r="A34" s="49"/>
      <c r="B34" s="38"/>
      <c r="C34" s="38" t="s">
        <v>35</v>
      </c>
      <c r="D34" s="38"/>
      <c r="E34" s="38"/>
      <c r="F34" s="38"/>
      <c r="G34" s="38"/>
      <c r="H34" s="38"/>
      <c r="I34" s="45"/>
    </row>
    <row r="35" spans="1:9">
      <c r="A35" s="50"/>
      <c r="B35" s="51"/>
      <c r="C35" s="51"/>
      <c r="D35" s="51"/>
      <c r="E35" s="51"/>
      <c r="F35" s="51"/>
      <c r="G35" s="51"/>
      <c r="H35" s="51"/>
      <c r="I35" s="52"/>
    </row>
    <row r="36" spans="1:9">
      <c r="A36" s="38"/>
      <c r="B36" s="38"/>
      <c r="C36" s="38"/>
      <c r="D36" s="38"/>
      <c r="E36" s="38"/>
      <c r="F36" s="38"/>
      <c r="G36" s="38"/>
      <c r="H36" s="38"/>
    </row>
    <row r="37" spans="1:9" ht="25.5">
      <c r="A37" s="155" t="s">
        <v>42</v>
      </c>
      <c r="B37" s="155"/>
      <c r="C37" s="155"/>
      <c r="D37" s="155"/>
      <c r="E37" s="155"/>
      <c r="F37" s="155"/>
      <c r="G37" s="155"/>
    </row>
    <row r="38" spans="1:9">
      <c r="A38" s="38"/>
      <c r="B38" s="38"/>
      <c r="C38" s="38"/>
      <c r="D38" s="38"/>
      <c r="E38" s="38"/>
      <c r="F38" s="38"/>
      <c r="G38" s="38"/>
    </row>
    <row r="39" spans="1:9" ht="25.5">
      <c r="A39" s="53" t="s">
        <v>43</v>
      </c>
      <c r="B39" s="53" t="s">
        <v>44</v>
      </c>
      <c r="C39" s="53" t="s">
        <v>45</v>
      </c>
      <c r="D39" s="53" t="s">
        <v>46</v>
      </c>
      <c r="E39" s="53" t="s">
        <v>47</v>
      </c>
      <c r="F39" s="53" t="s">
        <v>48</v>
      </c>
      <c r="G39" s="156" t="s">
        <v>49</v>
      </c>
      <c r="H39" s="156"/>
      <c r="I39" s="156"/>
    </row>
    <row r="40" spans="1:9" ht="15">
      <c r="A40" s="54"/>
      <c r="B40" s="55"/>
      <c r="C40" s="56"/>
      <c r="D40" s="56"/>
      <c r="E40" s="56"/>
      <c r="F40" s="56"/>
      <c r="G40" s="145"/>
      <c r="H40" s="145"/>
      <c r="I40" s="145"/>
    </row>
    <row r="41" spans="1:9" ht="15">
      <c r="A41" s="56"/>
      <c r="B41" s="56"/>
      <c r="C41" s="56"/>
      <c r="D41" s="56"/>
      <c r="E41" s="56"/>
      <c r="F41" s="56"/>
      <c r="G41" s="142"/>
      <c r="H41" s="143"/>
      <c r="I41" s="144"/>
    </row>
    <row r="42" spans="1:9" ht="15">
      <c r="A42" s="56"/>
      <c r="B42" s="56"/>
      <c r="C42" s="56"/>
      <c r="D42" s="56"/>
      <c r="E42" s="56"/>
      <c r="F42" s="56"/>
      <c r="G42" s="142"/>
      <c r="H42" s="143"/>
      <c r="I42" s="144"/>
    </row>
    <row r="43" spans="1:9" ht="15">
      <c r="A43" s="56"/>
      <c r="B43" s="56"/>
      <c r="C43" s="56"/>
      <c r="D43" s="56"/>
      <c r="E43" s="56"/>
      <c r="F43" s="56"/>
      <c r="G43" s="142"/>
      <c r="H43" s="143"/>
      <c r="I43" s="144"/>
    </row>
    <row r="44" spans="1:9" ht="15">
      <c r="A44" s="56"/>
      <c r="B44" s="56"/>
      <c r="C44" s="56"/>
      <c r="D44" s="56"/>
      <c r="E44" s="56"/>
      <c r="F44" s="56"/>
      <c r="G44" s="142"/>
      <c r="H44" s="143"/>
      <c r="I44" s="144"/>
    </row>
    <row r="45" spans="1:9" ht="15">
      <c r="A45" s="56"/>
      <c r="B45" s="56"/>
      <c r="C45" s="56"/>
      <c r="D45" s="56"/>
      <c r="E45" s="56"/>
      <c r="F45" s="56"/>
      <c r="G45" s="142"/>
      <c r="H45" s="143"/>
      <c r="I45" s="144"/>
    </row>
    <row r="46" spans="1:9" ht="15">
      <c r="A46" s="56"/>
      <c r="B46" s="56"/>
      <c r="C46" s="56"/>
      <c r="D46" s="56"/>
      <c r="E46" s="56"/>
      <c r="F46" s="56"/>
      <c r="G46" s="142"/>
      <c r="H46" s="143"/>
      <c r="I46" s="144"/>
    </row>
    <row r="47" spans="1:9" ht="15">
      <c r="A47" s="56"/>
      <c r="B47" s="56"/>
      <c r="C47" s="56"/>
      <c r="D47" s="56"/>
      <c r="E47" s="56"/>
      <c r="F47" s="56"/>
      <c r="G47" s="142"/>
      <c r="H47" s="143"/>
      <c r="I47" s="144"/>
    </row>
    <row r="48" spans="1:9" ht="15">
      <c r="A48" s="56"/>
      <c r="B48" s="56"/>
      <c r="C48" s="56"/>
      <c r="D48" s="56"/>
      <c r="E48" s="56"/>
      <c r="F48" s="56"/>
      <c r="G48" s="142"/>
      <c r="H48" s="143"/>
      <c r="I48" s="144"/>
    </row>
    <row r="49" spans="1:9" ht="15">
      <c r="A49" s="56"/>
      <c r="B49" s="56"/>
      <c r="C49" s="56"/>
      <c r="D49" s="56"/>
      <c r="E49" s="56"/>
      <c r="F49" s="56"/>
      <c r="G49" s="142"/>
      <c r="H49" s="143"/>
      <c r="I49" s="144"/>
    </row>
    <row r="50" spans="1:9" ht="15">
      <c r="A50" s="56"/>
      <c r="B50" s="56"/>
      <c r="C50" s="56"/>
      <c r="D50" s="56"/>
      <c r="E50" s="56"/>
      <c r="F50" s="56"/>
      <c r="G50" s="142"/>
      <c r="H50" s="143"/>
      <c r="I50" s="144"/>
    </row>
  </sheetData>
  <mergeCells count="16">
    <mergeCell ref="G40:I40"/>
    <mergeCell ref="A9:I9"/>
    <mergeCell ref="A10:I10"/>
    <mergeCell ref="A11:I11"/>
    <mergeCell ref="A37:G37"/>
    <mergeCell ref="G39:I39"/>
    <mergeCell ref="G47:I47"/>
    <mergeCell ref="G48:I48"/>
    <mergeCell ref="G49:I49"/>
    <mergeCell ref="G50:I50"/>
    <mergeCell ref="G41:I41"/>
    <mergeCell ref="G42:I42"/>
    <mergeCell ref="G43:I43"/>
    <mergeCell ref="G44:I44"/>
    <mergeCell ref="G45:I45"/>
    <mergeCell ref="G46:I4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Views>
    <sheetView workbookViewId="0">
      <selection activeCell="E28" sqref="E28"/>
    </sheetView>
  </sheetViews>
  <sheetFormatPr defaultColWidth="8.25" defaultRowHeight="12.75"/>
  <cols>
    <col min="1" max="1" width="5" style="57" customWidth="1"/>
    <col min="2" max="2" width="25.25" style="57" customWidth="1"/>
    <col min="3" max="3" width="36" style="57" customWidth="1"/>
    <col min="4" max="4" width="11.375" style="57" customWidth="1"/>
    <col min="5" max="5" width="32.375" style="57" customWidth="1"/>
    <col min="6" max="256" width="8.25" style="57"/>
    <col min="257" max="257" width="5" style="57" customWidth="1"/>
    <col min="258" max="258" width="25.25" style="57" customWidth="1"/>
    <col min="259" max="259" width="36" style="57" customWidth="1"/>
    <col min="260" max="260" width="11.375" style="57" customWidth="1"/>
    <col min="261" max="261" width="32.375" style="57" customWidth="1"/>
    <col min="262" max="512" width="8.25" style="57"/>
    <col min="513" max="513" width="5" style="57" customWidth="1"/>
    <col min="514" max="514" width="25.25" style="57" customWidth="1"/>
    <col min="515" max="515" width="36" style="57" customWidth="1"/>
    <col min="516" max="516" width="11.375" style="57" customWidth="1"/>
    <col min="517" max="517" width="32.375" style="57" customWidth="1"/>
    <col min="518" max="768" width="8.25" style="57"/>
    <col min="769" max="769" width="5" style="57" customWidth="1"/>
    <col min="770" max="770" width="25.25" style="57" customWidth="1"/>
    <col min="771" max="771" width="36" style="57" customWidth="1"/>
    <col min="772" max="772" width="11.375" style="57" customWidth="1"/>
    <col min="773" max="773" width="32.375" style="57" customWidth="1"/>
    <col min="774" max="1024" width="8.25" style="57"/>
    <col min="1025" max="1025" width="5" style="57" customWidth="1"/>
    <col min="1026" max="1026" width="25.25" style="57" customWidth="1"/>
    <col min="1027" max="1027" width="36" style="57" customWidth="1"/>
    <col min="1028" max="1028" width="11.375" style="57" customWidth="1"/>
    <col min="1029" max="1029" width="32.375" style="57" customWidth="1"/>
    <col min="1030" max="1280" width="8.25" style="57"/>
    <col min="1281" max="1281" width="5" style="57" customWidth="1"/>
    <col min="1282" max="1282" width="25.25" style="57" customWidth="1"/>
    <col min="1283" max="1283" width="36" style="57" customWidth="1"/>
    <col min="1284" max="1284" width="11.375" style="57" customWidth="1"/>
    <col min="1285" max="1285" width="32.375" style="57" customWidth="1"/>
    <col min="1286" max="1536" width="8.25" style="57"/>
    <col min="1537" max="1537" width="5" style="57" customWidth="1"/>
    <col min="1538" max="1538" width="25.25" style="57" customWidth="1"/>
    <col min="1539" max="1539" width="36" style="57" customWidth="1"/>
    <col min="1540" max="1540" width="11.375" style="57" customWidth="1"/>
    <col min="1541" max="1541" width="32.375" style="57" customWidth="1"/>
    <col min="1542" max="1792" width="8.25" style="57"/>
    <col min="1793" max="1793" width="5" style="57" customWidth="1"/>
    <col min="1794" max="1794" width="25.25" style="57" customWidth="1"/>
    <col min="1795" max="1795" width="36" style="57" customWidth="1"/>
    <col min="1796" max="1796" width="11.375" style="57" customWidth="1"/>
    <col min="1797" max="1797" width="32.375" style="57" customWidth="1"/>
    <col min="1798" max="2048" width="8.25" style="57"/>
    <col min="2049" max="2049" width="5" style="57" customWidth="1"/>
    <col min="2050" max="2050" width="25.25" style="57" customWidth="1"/>
    <col min="2051" max="2051" width="36" style="57" customWidth="1"/>
    <col min="2052" max="2052" width="11.375" style="57" customWidth="1"/>
    <col min="2053" max="2053" width="32.375" style="57" customWidth="1"/>
    <col min="2054" max="2304" width="8.25" style="57"/>
    <col min="2305" max="2305" width="5" style="57" customWidth="1"/>
    <col min="2306" max="2306" width="25.25" style="57" customWidth="1"/>
    <col min="2307" max="2307" width="36" style="57" customWidth="1"/>
    <col min="2308" max="2308" width="11.375" style="57" customWidth="1"/>
    <col min="2309" max="2309" width="32.375" style="57" customWidth="1"/>
    <col min="2310" max="2560" width="8.25" style="57"/>
    <col min="2561" max="2561" width="5" style="57" customWidth="1"/>
    <col min="2562" max="2562" width="25.25" style="57" customWidth="1"/>
    <col min="2563" max="2563" width="36" style="57" customWidth="1"/>
    <col min="2564" max="2564" width="11.375" style="57" customWidth="1"/>
    <col min="2565" max="2565" width="32.375" style="57" customWidth="1"/>
    <col min="2566" max="2816" width="8.25" style="57"/>
    <col min="2817" max="2817" width="5" style="57" customWidth="1"/>
    <col min="2818" max="2818" width="25.25" style="57" customWidth="1"/>
    <col min="2819" max="2819" width="36" style="57" customWidth="1"/>
    <col min="2820" max="2820" width="11.375" style="57" customWidth="1"/>
    <col min="2821" max="2821" width="32.375" style="57" customWidth="1"/>
    <col min="2822" max="3072" width="8.25" style="57"/>
    <col min="3073" max="3073" width="5" style="57" customWidth="1"/>
    <col min="3074" max="3074" width="25.25" style="57" customWidth="1"/>
    <col min="3075" max="3075" width="36" style="57" customWidth="1"/>
    <col min="3076" max="3076" width="11.375" style="57" customWidth="1"/>
    <col min="3077" max="3077" width="32.375" style="57" customWidth="1"/>
    <col min="3078" max="3328" width="8.25" style="57"/>
    <col min="3329" max="3329" width="5" style="57" customWidth="1"/>
    <col min="3330" max="3330" width="25.25" style="57" customWidth="1"/>
    <col min="3331" max="3331" width="36" style="57" customWidth="1"/>
    <col min="3332" max="3332" width="11.375" style="57" customWidth="1"/>
    <col min="3333" max="3333" width="32.375" style="57" customWidth="1"/>
    <col min="3334" max="3584" width="8.25" style="57"/>
    <col min="3585" max="3585" width="5" style="57" customWidth="1"/>
    <col min="3586" max="3586" width="25.25" style="57" customWidth="1"/>
    <col min="3587" max="3587" width="36" style="57" customWidth="1"/>
    <col min="3588" max="3588" width="11.375" style="57" customWidth="1"/>
    <col min="3589" max="3589" width="32.375" style="57" customWidth="1"/>
    <col min="3590" max="3840" width="8.25" style="57"/>
    <col min="3841" max="3841" width="5" style="57" customWidth="1"/>
    <col min="3842" max="3842" width="25.25" style="57" customWidth="1"/>
    <col min="3843" max="3843" width="36" style="57" customWidth="1"/>
    <col min="3844" max="3844" width="11.375" style="57" customWidth="1"/>
    <col min="3845" max="3845" width="32.375" style="57" customWidth="1"/>
    <col min="3846" max="4096" width="8.25" style="57"/>
    <col min="4097" max="4097" width="5" style="57" customWidth="1"/>
    <col min="4098" max="4098" width="25.25" style="57" customWidth="1"/>
    <col min="4099" max="4099" width="36" style="57" customWidth="1"/>
    <col min="4100" max="4100" width="11.375" style="57" customWidth="1"/>
    <col min="4101" max="4101" width="32.375" style="57" customWidth="1"/>
    <col min="4102" max="4352" width="8.25" style="57"/>
    <col min="4353" max="4353" width="5" style="57" customWidth="1"/>
    <col min="4354" max="4354" width="25.25" style="57" customWidth="1"/>
    <col min="4355" max="4355" width="36" style="57" customWidth="1"/>
    <col min="4356" max="4356" width="11.375" style="57" customWidth="1"/>
    <col min="4357" max="4357" width="32.375" style="57" customWidth="1"/>
    <col min="4358" max="4608" width="8.25" style="57"/>
    <col min="4609" max="4609" width="5" style="57" customWidth="1"/>
    <col min="4610" max="4610" width="25.25" style="57" customWidth="1"/>
    <col min="4611" max="4611" width="36" style="57" customWidth="1"/>
    <col min="4612" max="4612" width="11.375" style="57" customWidth="1"/>
    <col min="4613" max="4613" width="32.375" style="57" customWidth="1"/>
    <col min="4614" max="4864" width="8.25" style="57"/>
    <col min="4865" max="4865" width="5" style="57" customWidth="1"/>
    <col min="4866" max="4866" width="25.25" style="57" customWidth="1"/>
    <col min="4867" max="4867" width="36" style="57" customWidth="1"/>
    <col min="4868" max="4868" width="11.375" style="57" customWidth="1"/>
    <col min="4869" max="4869" width="32.375" style="57" customWidth="1"/>
    <col min="4870" max="5120" width="8.25" style="57"/>
    <col min="5121" max="5121" width="5" style="57" customWidth="1"/>
    <col min="5122" max="5122" width="25.25" style="57" customWidth="1"/>
    <col min="5123" max="5123" width="36" style="57" customWidth="1"/>
    <col min="5124" max="5124" width="11.375" style="57" customWidth="1"/>
    <col min="5125" max="5125" width="32.375" style="57" customWidth="1"/>
    <col min="5126" max="5376" width="8.25" style="57"/>
    <col min="5377" max="5377" width="5" style="57" customWidth="1"/>
    <col min="5378" max="5378" width="25.25" style="57" customWidth="1"/>
    <col min="5379" max="5379" width="36" style="57" customWidth="1"/>
    <col min="5380" max="5380" width="11.375" style="57" customWidth="1"/>
    <col min="5381" max="5381" width="32.375" style="57" customWidth="1"/>
    <col min="5382" max="5632" width="8.25" style="57"/>
    <col min="5633" max="5633" width="5" style="57" customWidth="1"/>
    <col min="5634" max="5634" width="25.25" style="57" customWidth="1"/>
    <col min="5635" max="5635" width="36" style="57" customWidth="1"/>
    <col min="5636" max="5636" width="11.375" style="57" customWidth="1"/>
    <col min="5637" max="5637" width="32.375" style="57" customWidth="1"/>
    <col min="5638" max="5888" width="8.25" style="57"/>
    <col min="5889" max="5889" width="5" style="57" customWidth="1"/>
    <col min="5890" max="5890" width="25.25" style="57" customWidth="1"/>
    <col min="5891" max="5891" width="36" style="57" customWidth="1"/>
    <col min="5892" max="5892" width="11.375" style="57" customWidth="1"/>
    <col min="5893" max="5893" width="32.375" style="57" customWidth="1"/>
    <col min="5894" max="6144" width="8.25" style="57"/>
    <col min="6145" max="6145" width="5" style="57" customWidth="1"/>
    <col min="6146" max="6146" width="25.25" style="57" customWidth="1"/>
    <col min="6147" max="6147" width="36" style="57" customWidth="1"/>
    <col min="6148" max="6148" width="11.375" style="57" customWidth="1"/>
    <col min="6149" max="6149" width="32.375" style="57" customWidth="1"/>
    <col min="6150" max="6400" width="8.25" style="57"/>
    <col min="6401" max="6401" width="5" style="57" customWidth="1"/>
    <col min="6402" max="6402" width="25.25" style="57" customWidth="1"/>
    <col min="6403" max="6403" width="36" style="57" customWidth="1"/>
    <col min="6404" max="6404" width="11.375" style="57" customWidth="1"/>
    <col min="6405" max="6405" width="32.375" style="57" customWidth="1"/>
    <col min="6406" max="6656" width="8.25" style="57"/>
    <col min="6657" max="6657" width="5" style="57" customWidth="1"/>
    <col min="6658" max="6658" width="25.25" style="57" customWidth="1"/>
    <col min="6659" max="6659" width="36" style="57" customWidth="1"/>
    <col min="6660" max="6660" width="11.375" style="57" customWidth="1"/>
    <col min="6661" max="6661" width="32.375" style="57" customWidth="1"/>
    <col min="6662" max="6912" width="8.25" style="57"/>
    <col min="6913" max="6913" width="5" style="57" customWidth="1"/>
    <col min="6914" max="6914" width="25.25" style="57" customWidth="1"/>
    <col min="6915" max="6915" width="36" style="57" customWidth="1"/>
    <col min="6916" max="6916" width="11.375" style="57" customWidth="1"/>
    <col min="6917" max="6917" width="32.375" style="57" customWidth="1"/>
    <col min="6918" max="7168" width="8.25" style="57"/>
    <col min="7169" max="7169" width="5" style="57" customWidth="1"/>
    <col min="7170" max="7170" width="25.25" style="57" customWidth="1"/>
    <col min="7171" max="7171" width="36" style="57" customWidth="1"/>
    <col min="7172" max="7172" width="11.375" style="57" customWidth="1"/>
    <col min="7173" max="7173" width="32.375" style="57" customWidth="1"/>
    <col min="7174" max="7424" width="8.25" style="57"/>
    <col min="7425" max="7425" width="5" style="57" customWidth="1"/>
    <col min="7426" max="7426" width="25.25" style="57" customWidth="1"/>
    <col min="7427" max="7427" width="36" style="57" customWidth="1"/>
    <col min="7428" max="7428" width="11.375" style="57" customWidth="1"/>
    <col min="7429" max="7429" width="32.375" style="57" customWidth="1"/>
    <col min="7430" max="7680" width="8.25" style="57"/>
    <col min="7681" max="7681" width="5" style="57" customWidth="1"/>
    <col min="7682" max="7682" width="25.25" style="57" customWidth="1"/>
    <col min="7683" max="7683" width="36" style="57" customWidth="1"/>
    <col min="7684" max="7684" width="11.375" style="57" customWidth="1"/>
    <col min="7685" max="7685" width="32.375" style="57" customWidth="1"/>
    <col min="7686" max="7936" width="8.25" style="57"/>
    <col min="7937" max="7937" width="5" style="57" customWidth="1"/>
    <col min="7938" max="7938" width="25.25" style="57" customWidth="1"/>
    <col min="7939" max="7939" width="36" style="57" customWidth="1"/>
    <col min="7940" max="7940" width="11.375" style="57" customWidth="1"/>
    <col min="7941" max="7941" width="32.375" style="57" customWidth="1"/>
    <col min="7942" max="8192" width="8.25" style="57"/>
    <col min="8193" max="8193" width="5" style="57" customWidth="1"/>
    <col min="8194" max="8194" width="25.25" style="57" customWidth="1"/>
    <col min="8195" max="8195" width="36" style="57" customWidth="1"/>
    <col min="8196" max="8196" width="11.375" style="57" customWidth="1"/>
    <col min="8197" max="8197" width="32.375" style="57" customWidth="1"/>
    <col min="8198" max="8448" width="8.25" style="57"/>
    <col min="8449" max="8449" width="5" style="57" customWidth="1"/>
    <col min="8450" max="8450" width="25.25" style="57" customWidth="1"/>
    <col min="8451" max="8451" width="36" style="57" customWidth="1"/>
    <col min="8452" max="8452" width="11.375" style="57" customWidth="1"/>
    <col min="8453" max="8453" width="32.375" style="57" customWidth="1"/>
    <col min="8454" max="8704" width="8.25" style="57"/>
    <col min="8705" max="8705" width="5" style="57" customWidth="1"/>
    <col min="8706" max="8706" width="25.25" style="57" customWidth="1"/>
    <col min="8707" max="8707" width="36" style="57" customWidth="1"/>
    <col min="8708" max="8708" width="11.375" style="57" customWidth="1"/>
    <col min="8709" max="8709" width="32.375" style="57" customWidth="1"/>
    <col min="8710" max="8960" width="8.25" style="57"/>
    <col min="8961" max="8961" width="5" style="57" customWidth="1"/>
    <col min="8962" max="8962" width="25.25" style="57" customWidth="1"/>
    <col min="8963" max="8963" width="36" style="57" customWidth="1"/>
    <col min="8964" max="8964" width="11.375" style="57" customWidth="1"/>
    <col min="8965" max="8965" width="32.375" style="57" customWidth="1"/>
    <col min="8966" max="9216" width="8.25" style="57"/>
    <col min="9217" max="9217" width="5" style="57" customWidth="1"/>
    <col min="9218" max="9218" width="25.25" style="57" customWidth="1"/>
    <col min="9219" max="9219" width="36" style="57" customWidth="1"/>
    <col min="9220" max="9220" width="11.375" style="57" customWidth="1"/>
    <col min="9221" max="9221" width="32.375" style="57" customWidth="1"/>
    <col min="9222" max="9472" width="8.25" style="57"/>
    <col min="9473" max="9473" width="5" style="57" customWidth="1"/>
    <col min="9474" max="9474" width="25.25" style="57" customWidth="1"/>
    <col min="9475" max="9475" width="36" style="57" customWidth="1"/>
    <col min="9476" max="9476" width="11.375" style="57" customWidth="1"/>
    <col min="9477" max="9477" width="32.375" style="57" customWidth="1"/>
    <col min="9478" max="9728" width="8.25" style="57"/>
    <col min="9729" max="9729" width="5" style="57" customWidth="1"/>
    <col min="9730" max="9730" width="25.25" style="57" customWidth="1"/>
    <col min="9731" max="9731" width="36" style="57" customWidth="1"/>
    <col min="9732" max="9732" width="11.375" style="57" customWidth="1"/>
    <col min="9733" max="9733" width="32.375" style="57" customWidth="1"/>
    <col min="9734" max="9984" width="8.25" style="57"/>
    <col min="9985" max="9985" width="5" style="57" customWidth="1"/>
    <col min="9986" max="9986" width="25.25" style="57" customWidth="1"/>
    <col min="9987" max="9987" width="36" style="57" customWidth="1"/>
    <col min="9988" max="9988" width="11.375" style="57" customWidth="1"/>
    <col min="9989" max="9989" width="32.375" style="57" customWidth="1"/>
    <col min="9990" max="10240" width="8.25" style="57"/>
    <col min="10241" max="10241" width="5" style="57" customWidth="1"/>
    <col min="10242" max="10242" width="25.25" style="57" customWidth="1"/>
    <col min="10243" max="10243" width="36" style="57" customWidth="1"/>
    <col min="10244" max="10244" width="11.375" style="57" customWidth="1"/>
    <col min="10245" max="10245" width="32.375" style="57" customWidth="1"/>
    <col min="10246" max="10496" width="8.25" style="57"/>
    <col min="10497" max="10497" width="5" style="57" customWidth="1"/>
    <col min="10498" max="10498" width="25.25" style="57" customWidth="1"/>
    <col min="10499" max="10499" width="36" style="57" customWidth="1"/>
    <col min="10500" max="10500" width="11.375" style="57" customWidth="1"/>
    <col min="10501" max="10501" width="32.375" style="57" customWidth="1"/>
    <col min="10502" max="10752" width="8.25" style="57"/>
    <col min="10753" max="10753" width="5" style="57" customWidth="1"/>
    <col min="10754" max="10754" width="25.25" style="57" customWidth="1"/>
    <col min="10755" max="10755" width="36" style="57" customWidth="1"/>
    <col min="10756" max="10756" width="11.375" style="57" customWidth="1"/>
    <col min="10757" max="10757" width="32.375" style="57" customWidth="1"/>
    <col min="10758" max="11008" width="8.25" style="57"/>
    <col min="11009" max="11009" width="5" style="57" customWidth="1"/>
    <col min="11010" max="11010" width="25.25" style="57" customWidth="1"/>
    <col min="11011" max="11011" width="36" style="57" customWidth="1"/>
    <col min="11012" max="11012" width="11.375" style="57" customWidth="1"/>
    <col min="11013" max="11013" width="32.375" style="57" customWidth="1"/>
    <col min="11014" max="11264" width="8.25" style="57"/>
    <col min="11265" max="11265" width="5" style="57" customWidth="1"/>
    <col min="11266" max="11266" width="25.25" style="57" customWidth="1"/>
    <col min="11267" max="11267" width="36" style="57" customWidth="1"/>
    <col min="11268" max="11268" width="11.375" style="57" customWidth="1"/>
    <col min="11269" max="11269" width="32.375" style="57" customWidth="1"/>
    <col min="11270" max="11520" width="8.25" style="57"/>
    <col min="11521" max="11521" width="5" style="57" customWidth="1"/>
    <col min="11522" max="11522" width="25.25" style="57" customWidth="1"/>
    <col min="11523" max="11523" width="36" style="57" customWidth="1"/>
    <col min="11524" max="11524" width="11.375" style="57" customWidth="1"/>
    <col min="11525" max="11525" width="32.375" style="57" customWidth="1"/>
    <col min="11526" max="11776" width="8.25" style="57"/>
    <col min="11777" max="11777" width="5" style="57" customWidth="1"/>
    <col min="11778" max="11778" width="25.25" style="57" customWidth="1"/>
    <col min="11779" max="11779" width="36" style="57" customWidth="1"/>
    <col min="11780" max="11780" width="11.375" style="57" customWidth="1"/>
    <col min="11781" max="11781" width="32.375" style="57" customWidth="1"/>
    <col min="11782" max="12032" width="8.25" style="57"/>
    <col min="12033" max="12033" width="5" style="57" customWidth="1"/>
    <col min="12034" max="12034" width="25.25" style="57" customWidth="1"/>
    <col min="12035" max="12035" width="36" style="57" customWidth="1"/>
    <col min="12036" max="12036" width="11.375" style="57" customWidth="1"/>
    <col min="12037" max="12037" width="32.375" style="57" customWidth="1"/>
    <col min="12038" max="12288" width="8.25" style="57"/>
    <col min="12289" max="12289" width="5" style="57" customWidth="1"/>
    <col min="12290" max="12290" width="25.25" style="57" customWidth="1"/>
    <col min="12291" max="12291" width="36" style="57" customWidth="1"/>
    <col min="12292" max="12292" width="11.375" style="57" customWidth="1"/>
    <col min="12293" max="12293" width="32.375" style="57" customWidth="1"/>
    <col min="12294" max="12544" width="8.25" style="57"/>
    <col min="12545" max="12545" width="5" style="57" customWidth="1"/>
    <col min="12546" max="12546" width="25.25" style="57" customWidth="1"/>
    <col min="12547" max="12547" width="36" style="57" customWidth="1"/>
    <col min="12548" max="12548" width="11.375" style="57" customWidth="1"/>
    <col min="12549" max="12549" width="32.375" style="57" customWidth="1"/>
    <col min="12550" max="12800" width="8.25" style="57"/>
    <col min="12801" max="12801" width="5" style="57" customWidth="1"/>
    <col min="12802" max="12802" width="25.25" style="57" customWidth="1"/>
    <col min="12803" max="12803" width="36" style="57" customWidth="1"/>
    <col min="12804" max="12804" width="11.375" style="57" customWidth="1"/>
    <col min="12805" max="12805" width="32.375" style="57" customWidth="1"/>
    <col min="12806" max="13056" width="8.25" style="57"/>
    <col min="13057" max="13057" width="5" style="57" customWidth="1"/>
    <col min="13058" max="13058" width="25.25" style="57" customWidth="1"/>
    <col min="13059" max="13059" width="36" style="57" customWidth="1"/>
    <col min="13060" max="13060" width="11.375" style="57" customWidth="1"/>
    <col min="13061" max="13061" width="32.375" style="57" customWidth="1"/>
    <col min="13062" max="13312" width="8.25" style="57"/>
    <col min="13313" max="13313" width="5" style="57" customWidth="1"/>
    <col min="13314" max="13314" width="25.25" style="57" customWidth="1"/>
    <col min="13315" max="13315" width="36" style="57" customWidth="1"/>
    <col min="13316" max="13316" width="11.375" style="57" customWidth="1"/>
    <col min="13317" max="13317" width="32.375" style="57" customWidth="1"/>
    <col min="13318" max="13568" width="8.25" style="57"/>
    <col min="13569" max="13569" width="5" style="57" customWidth="1"/>
    <col min="13570" max="13570" width="25.25" style="57" customWidth="1"/>
    <col min="13571" max="13571" width="36" style="57" customWidth="1"/>
    <col min="13572" max="13572" width="11.375" style="57" customWidth="1"/>
    <col min="13573" max="13573" width="32.375" style="57" customWidth="1"/>
    <col min="13574" max="13824" width="8.25" style="57"/>
    <col min="13825" max="13825" width="5" style="57" customWidth="1"/>
    <col min="13826" max="13826" width="25.25" style="57" customWidth="1"/>
    <col min="13827" max="13827" width="36" style="57" customWidth="1"/>
    <col min="13828" max="13828" width="11.375" style="57" customWidth="1"/>
    <col min="13829" max="13829" width="32.375" style="57" customWidth="1"/>
    <col min="13830" max="14080" width="8.25" style="57"/>
    <col min="14081" max="14081" width="5" style="57" customWidth="1"/>
    <col min="14082" max="14082" width="25.25" style="57" customWidth="1"/>
    <col min="14083" max="14083" width="36" style="57" customWidth="1"/>
    <col min="14084" max="14084" width="11.375" style="57" customWidth="1"/>
    <col min="14085" max="14085" width="32.375" style="57" customWidth="1"/>
    <col min="14086" max="14336" width="8.25" style="57"/>
    <col min="14337" max="14337" width="5" style="57" customWidth="1"/>
    <col min="14338" max="14338" width="25.25" style="57" customWidth="1"/>
    <col min="14339" max="14339" width="36" style="57" customWidth="1"/>
    <col min="14340" max="14340" width="11.375" style="57" customWidth="1"/>
    <col min="14341" max="14341" width="32.375" style="57" customWidth="1"/>
    <col min="14342" max="14592" width="8.25" style="57"/>
    <col min="14593" max="14593" width="5" style="57" customWidth="1"/>
    <col min="14594" max="14594" width="25.25" style="57" customWidth="1"/>
    <col min="14595" max="14595" width="36" style="57" customWidth="1"/>
    <col min="14596" max="14596" width="11.375" style="57" customWidth="1"/>
    <col min="14597" max="14597" width="32.375" style="57" customWidth="1"/>
    <col min="14598" max="14848" width="8.25" style="57"/>
    <col min="14849" max="14849" width="5" style="57" customWidth="1"/>
    <col min="14850" max="14850" width="25.25" style="57" customWidth="1"/>
    <col min="14851" max="14851" width="36" style="57" customWidth="1"/>
    <col min="14852" max="14852" width="11.375" style="57" customWidth="1"/>
    <col min="14853" max="14853" width="32.375" style="57" customWidth="1"/>
    <col min="14854" max="15104" width="8.25" style="57"/>
    <col min="15105" max="15105" width="5" style="57" customWidth="1"/>
    <col min="15106" max="15106" width="25.25" style="57" customWidth="1"/>
    <col min="15107" max="15107" width="36" style="57" customWidth="1"/>
    <col min="15108" max="15108" width="11.375" style="57" customWidth="1"/>
    <col min="15109" max="15109" width="32.375" style="57" customWidth="1"/>
    <col min="15110" max="15360" width="8.25" style="57"/>
    <col min="15361" max="15361" width="5" style="57" customWidth="1"/>
    <col min="15362" max="15362" width="25.25" style="57" customWidth="1"/>
    <col min="15363" max="15363" width="36" style="57" customWidth="1"/>
    <col min="15364" max="15364" width="11.375" style="57" customWidth="1"/>
    <col min="15365" max="15365" width="32.375" style="57" customWidth="1"/>
    <col min="15366" max="15616" width="8.25" style="57"/>
    <col min="15617" max="15617" width="5" style="57" customWidth="1"/>
    <col min="15618" max="15618" width="25.25" style="57" customWidth="1"/>
    <col min="15619" max="15619" width="36" style="57" customWidth="1"/>
    <col min="15620" max="15620" width="11.375" style="57" customWidth="1"/>
    <col min="15621" max="15621" width="32.375" style="57" customWidth="1"/>
    <col min="15622" max="15872" width="8.25" style="57"/>
    <col min="15873" max="15873" width="5" style="57" customWidth="1"/>
    <col min="15874" max="15874" width="25.25" style="57" customWidth="1"/>
    <col min="15875" max="15875" width="36" style="57" customWidth="1"/>
    <col min="15876" max="15876" width="11.375" style="57" customWidth="1"/>
    <col min="15877" max="15877" width="32.375" style="57" customWidth="1"/>
    <col min="15878" max="16128" width="8.25" style="57"/>
    <col min="16129" max="16129" width="5" style="57" customWidth="1"/>
    <col min="16130" max="16130" width="25.25" style="57" customWidth="1"/>
    <col min="16131" max="16131" width="36" style="57" customWidth="1"/>
    <col min="16132" max="16132" width="11.375" style="57" customWidth="1"/>
    <col min="16133" max="16133" width="32.375" style="57" customWidth="1"/>
    <col min="16134" max="16384" width="8.25" style="57"/>
  </cols>
  <sheetData>
    <row r="1" spans="1:5" ht="26.25">
      <c r="A1" s="168" t="s">
        <v>50</v>
      </c>
      <c r="B1" s="168"/>
      <c r="C1" s="168"/>
      <c r="D1" s="168"/>
      <c r="E1" s="168"/>
    </row>
    <row r="2" spans="1:5">
      <c r="A2" s="58"/>
      <c r="B2" s="58"/>
      <c r="C2" s="58"/>
      <c r="D2" s="58"/>
      <c r="E2" s="58"/>
    </row>
    <row r="3" spans="1:5">
      <c r="A3" s="163" t="s">
        <v>51</v>
      </c>
      <c r="B3" s="163"/>
      <c r="C3" s="163"/>
      <c r="D3" s="163"/>
      <c r="E3" s="163"/>
    </row>
    <row r="4" spans="1:5">
      <c r="A4" s="169"/>
      <c r="B4" s="169"/>
      <c r="C4" s="169"/>
      <c r="D4" s="169"/>
      <c r="E4" s="169"/>
    </row>
    <row r="5" spans="1:5">
      <c r="A5" s="167"/>
      <c r="B5" s="167"/>
      <c r="C5" s="167"/>
      <c r="D5" s="167"/>
      <c r="E5" s="167"/>
    </row>
    <row r="6" spans="1:5">
      <c r="A6" s="167"/>
      <c r="B6" s="167"/>
      <c r="C6" s="167"/>
      <c r="D6" s="167"/>
      <c r="E6" s="167"/>
    </row>
    <row r="7" spans="1:5">
      <c r="A7" s="167"/>
      <c r="B7" s="167"/>
      <c r="C7" s="167"/>
      <c r="D7" s="167"/>
      <c r="E7" s="167"/>
    </row>
    <row r="8" spans="1:5">
      <c r="A8" s="163" t="s">
        <v>52</v>
      </c>
      <c r="B8" s="163"/>
      <c r="C8" s="163"/>
      <c r="D8" s="163"/>
      <c r="E8" s="163"/>
    </row>
    <row r="9" spans="1:5">
      <c r="A9" s="60" t="s">
        <v>53</v>
      </c>
      <c r="B9" s="60" t="s">
        <v>54</v>
      </c>
      <c r="C9" s="60" t="s">
        <v>55</v>
      </c>
      <c r="D9" s="60" t="s">
        <v>56</v>
      </c>
      <c r="E9" s="60" t="s">
        <v>57</v>
      </c>
    </row>
    <row r="10" spans="1:5" s="65" customFormat="1" ht="14.25">
      <c r="A10" s="61">
        <v>1</v>
      </c>
      <c r="B10" s="59"/>
      <c r="C10" s="62"/>
      <c r="D10" s="63"/>
      <c r="E10" s="64"/>
    </row>
    <row r="11" spans="1:5" s="65" customFormat="1">
      <c r="A11" s="61"/>
      <c r="B11" s="66"/>
      <c r="C11" s="67"/>
      <c r="D11" s="68"/>
      <c r="E11" s="59"/>
    </row>
    <row r="12" spans="1:5" s="65" customFormat="1">
      <c r="A12" s="69"/>
      <c r="B12" s="66"/>
      <c r="C12" s="67"/>
      <c r="D12" s="68"/>
      <c r="E12" s="59"/>
    </row>
    <row r="13" spans="1:5" s="65" customFormat="1">
      <c r="A13" s="61"/>
      <c r="B13" s="66"/>
      <c r="C13" s="67"/>
      <c r="D13" s="68"/>
      <c r="E13" s="59"/>
    </row>
    <row r="14" spans="1:5" s="65" customFormat="1">
      <c r="A14" s="61"/>
      <c r="B14" s="66"/>
      <c r="C14" s="67"/>
      <c r="D14" s="68"/>
      <c r="E14" s="59"/>
    </row>
    <row r="15" spans="1:5">
      <c r="A15" s="163" t="s">
        <v>58</v>
      </c>
      <c r="B15" s="163"/>
      <c r="C15" s="163"/>
      <c r="D15" s="163"/>
      <c r="E15" s="163"/>
    </row>
    <row r="16" spans="1:5">
      <c r="A16" s="70" t="s">
        <v>53</v>
      </c>
      <c r="B16" s="71" t="s">
        <v>59</v>
      </c>
      <c r="C16" s="160" t="s">
        <v>56</v>
      </c>
      <c r="D16" s="161"/>
      <c r="E16" s="60" t="s">
        <v>60</v>
      </c>
    </row>
    <row r="17" spans="1:5" s="65" customFormat="1">
      <c r="A17" s="61"/>
      <c r="B17" s="72" t="s">
        <v>61</v>
      </c>
      <c r="C17" s="162">
        <v>131</v>
      </c>
      <c r="D17" s="162"/>
      <c r="E17" s="61" t="s">
        <v>62</v>
      </c>
    </row>
    <row r="18" spans="1:5" s="65" customFormat="1">
      <c r="A18" s="61"/>
      <c r="B18" s="72" t="s">
        <v>63</v>
      </c>
      <c r="C18" s="162">
        <v>131</v>
      </c>
      <c r="D18" s="162"/>
      <c r="E18" s="61" t="s">
        <v>64</v>
      </c>
    </row>
    <row r="19" spans="1:5">
      <c r="A19" s="68"/>
      <c r="B19" s="164" t="s">
        <v>65</v>
      </c>
      <c r="C19" s="165"/>
      <c r="D19" s="165"/>
      <c r="E19" s="166"/>
    </row>
    <row r="20" spans="1:5">
      <c r="A20" s="68"/>
      <c r="B20" s="157" t="s">
        <v>66</v>
      </c>
      <c r="C20" s="158"/>
      <c r="D20" s="158"/>
      <c r="E20" s="159"/>
    </row>
    <row r="21" spans="1:5">
      <c r="A21" s="68"/>
      <c r="B21" s="71" t="s">
        <v>67</v>
      </c>
      <c r="C21" s="160" t="s">
        <v>56</v>
      </c>
      <c r="D21" s="161"/>
      <c r="E21" s="60" t="s">
        <v>68</v>
      </c>
    </row>
    <row r="22" spans="1:5">
      <c r="A22" s="68"/>
      <c r="B22" s="66"/>
      <c r="C22" s="162"/>
      <c r="D22" s="162"/>
      <c r="E22" s="67"/>
    </row>
    <row r="23" spans="1:5">
      <c r="A23" s="68"/>
      <c r="B23" s="66"/>
      <c r="C23" s="162"/>
      <c r="D23" s="162"/>
      <c r="E23" s="67"/>
    </row>
  </sheetData>
  <mergeCells count="16">
    <mergeCell ref="A7:E7"/>
    <mergeCell ref="A1:E1"/>
    <mergeCell ref="A3:E3"/>
    <mergeCell ref="A4:E4"/>
    <mergeCell ref="A5:E5"/>
    <mergeCell ref="A6:E6"/>
    <mergeCell ref="B20:E20"/>
    <mergeCell ref="C21:D21"/>
    <mergeCell ref="C22:D22"/>
    <mergeCell ref="C23:D23"/>
    <mergeCell ref="A8:E8"/>
    <mergeCell ref="A15:E15"/>
    <mergeCell ref="C16:D16"/>
    <mergeCell ref="C17:D17"/>
    <mergeCell ref="C18:D18"/>
    <mergeCell ref="B19:E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selection activeCell="M4" sqref="M4"/>
    </sheetView>
  </sheetViews>
  <sheetFormatPr defaultColWidth="8.25" defaultRowHeight="12.75"/>
  <cols>
    <col min="1" max="1" width="8.25" style="73"/>
    <col min="2" max="2" width="42.75" style="73" customWidth="1"/>
    <col min="3" max="10" width="13.375" style="81" customWidth="1"/>
    <col min="11" max="257" width="8.25" style="73"/>
    <col min="258" max="258" width="42.75" style="73" customWidth="1"/>
    <col min="259" max="266" width="13.375" style="73" customWidth="1"/>
    <col min="267" max="513" width="8.25" style="73"/>
    <col min="514" max="514" width="42.75" style="73" customWidth="1"/>
    <col min="515" max="522" width="13.375" style="73" customWidth="1"/>
    <col min="523" max="769" width="8.25" style="73"/>
    <col min="770" max="770" width="42.75" style="73" customWidth="1"/>
    <col min="771" max="778" width="13.375" style="73" customWidth="1"/>
    <col min="779" max="1025" width="8.25" style="73"/>
    <col min="1026" max="1026" width="42.75" style="73" customWidth="1"/>
    <col min="1027" max="1034" width="13.375" style="73" customWidth="1"/>
    <col min="1035" max="1281" width="8.25" style="73"/>
    <col min="1282" max="1282" width="42.75" style="73" customWidth="1"/>
    <col min="1283" max="1290" width="13.375" style="73" customWidth="1"/>
    <col min="1291" max="1537" width="8.25" style="73"/>
    <col min="1538" max="1538" width="42.75" style="73" customWidth="1"/>
    <col min="1539" max="1546" width="13.375" style="73" customWidth="1"/>
    <col min="1547" max="1793" width="8.25" style="73"/>
    <col min="1794" max="1794" width="42.75" style="73" customWidth="1"/>
    <col min="1795" max="1802" width="13.375" style="73" customWidth="1"/>
    <col min="1803" max="2049" width="8.25" style="73"/>
    <col min="2050" max="2050" width="42.75" style="73" customWidth="1"/>
    <col min="2051" max="2058" width="13.375" style="73" customWidth="1"/>
    <col min="2059" max="2305" width="8.25" style="73"/>
    <col min="2306" max="2306" width="42.75" style="73" customWidth="1"/>
    <col min="2307" max="2314" width="13.375" style="73" customWidth="1"/>
    <col min="2315" max="2561" width="8.25" style="73"/>
    <col min="2562" max="2562" width="42.75" style="73" customWidth="1"/>
    <col min="2563" max="2570" width="13.375" style="73" customWidth="1"/>
    <col min="2571" max="2817" width="8.25" style="73"/>
    <col min="2818" max="2818" width="42.75" style="73" customWidth="1"/>
    <col min="2819" max="2826" width="13.375" style="73" customWidth="1"/>
    <col min="2827" max="3073" width="8.25" style="73"/>
    <col min="3074" max="3074" width="42.75" style="73" customWidth="1"/>
    <col min="3075" max="3082" width="13.375" style="73" customWidth="1"/>
    <col min="3083" max="3329" width="8.25" style="73"/>
    <col min="3330" max="3330" width="42.75" style="73" customWidth="1"/>
    <col min="3331" max="3338" width="13.375" style="73" customWidth="1"/>
    <col min="3339" max="3585" width="8.25" style="73"/>
    <col min="3586" max="3586" width="42.75" style="73" customWidth="1"/>
    <col min="3587" max="3594" width="13.375" style="73" customWidth="1"/>
    <col min="3595" max="3841" width="8.25" style="73"/>
    <col min="3842" max="3842" width="42.75" style="73" customWidth="1"/>
    <col min="3843" max="3850" width="13.375" style="73" customWidth="1"/>
    <col min="3851" max="4097" width="8.25" style="73"/>
    <col min="4098" max="4098" width="42.75" style="73" customWidth="1"/>
    <col min="4099" max="4106" width="13.375" style="73" customWidth="1"/>
    <col min="4107" max="4353" width="8.25" style="73"/>
    <col min="4354" max="4354" width="42.75" style="73" customWidth="1"/>
    <col min="4355" max="4362" width="13.375" style="73" customWidth="1"/>
    <col min="4363" max="4609" width="8.25" style="73"/>
    <col min="4610" max="4610" width="42.75" style="73" customWidth="1"/>
    <col min="4611" max="4618" width="13.375" style="73" customWidth="1"/>
    <col min="4619" max="4865" width="8.25" style="73"/>
    <col min="4866" max="4866" width="42.75" style="73" customWidth="1"/>
    <col min="4867" max="4874" width="13.375" style="73" customWidth="1"/>
    <col min="4875" max="5121" width="8.25" style="73"/>
    <col min="5122" max="5122" width="42.75" style="73" customWidth="1"/>
    <col min="5123" max="5130" width="13.375" style="73" customWidth="1"/>
    <col min="5131" max="5377" width="8.25" style="73"/>
    <col min="5378" max="5378" width="42.75" style="73" customWidth="1"/>
    <col min="5379" max="5386" width="13.375" style="73" customWidth="1"/>
    <col min="5387" max="5633" width="8.25" style="73"/>
    <col min="5634" max="5634" width="42.75" style="73" customWidth="1"/>
    <col min="5635" max="5642" width="13.375" style="73" customWidth="1"/>
    <col min="5643" max="5889" width="8.25" style="73"/>
    <col min="5890" max="5890" width="42.75" style="73" customWidth="1"/>
    <col min="5891" max="5898" width="13.375" style="73" customWidth="1"/>
    <col min="5899" max="6145" width="8.25" style="73"/>
    <col min="6146" max="6146" width="42.75" style="73" customWidth="1"/>
    <col min="6147" max="6154" width="13.375" style="73" customWidth="1"/>
    <col min="6155" max="6401" width="8.25" style="73"/>
    <col min="6402" max="6402" width="42.75" style="73" customWidth="1"/>
    <col min="6403" max="6410" width="13.375" style="73" customWidth="1"/>
    <col min="6411" max="6657" width="8.25" style="73"/>
    <col min="6658" max="6658" width="42.75" style="73" customWidth="1"/>
    <col min="6659" max="6666" width="13.375" style="73" customWidth="1"/>
    <col min="6667" max="6913" width="8.25" style="73"/>
    <col min="6914" max="6914" width="42.75" style="73" customWidth="1"/>
    <col min="6915" max="6922" width="13.375" style="73" customWidth="1"/>
    <col min="6923" max="7169" width="8.25" style="73"/>
    <col min="7170" max="7170" width="42.75" style="73" customWidth="1"/>
    <col min="7171" max="7178" width="13.375" style="73" customWidth="1"/>
    <col min="7179" max="7425" width="8.25" style="73"/>
    <col min="7426" max="7426" width="42.75" style="73" customWidth="1"/>
    <col min="7427" max="7434" width="13.375" style="73" customWidth="1"/>
    <col min="7435" max="7681" width="8.25" style="73"/>
    <col min="7682" max="7682" width="42.75" style="73" customWidth="1"/>
    <col min="7683" max="7690" width="13.375" style="73" customWidth="1"/>
    <col min="7691" max="7937" width="8.25" style="73"/>
    <col min="7938" max="7938" width="42.75" style="73" customWidth="1"/>
    <col min="7939" max="7946" width="13.375" style="73" customWidth="1"/>
    <col min="7947" max="8193" width="8.25" style="73"/>
    <col min="8194" max="8194" width="42.75" style="73" customWidth="1"/>
    <col min="8195" max="8202" width="13.375" style="73" customWidth="1"/>
    <col min="8203" max="8449" width="8.25" style="73"/>
    <col min="8450" max="8450" width="42.75" style="73" customWidth="1"/>
    <col min="8451" max="8458" width="13.375" style="73" customWidth="1"/>
    <col min="8459" max="8705" width="8.25" style="73"/>
    <col min="8706" max="8706" width="42.75" style="73" customWidth="1"/>
    <col min="8707" max="8714" width="13.375" style="73" customWidth="1"/>
    <col min="8715" max="8961" width="8.25" style="73"/>
    <col min="8962" max="8962" width="42.75" style="73" customWidth="1"/>
    <col min="8963" max="8970" width="13.375" style="73" customWidth="1"/>
    <col min="8971" max="9217" width="8.25" style="73"/>
    <col min="9218" max="9218" width="42.75" style="73" customWidth="1"/>
    <col min="9219" max="9226" width="13.375" style="73" customWidth="1"/>
    <col min="9227" max="9473" width="8.25" style="73"/>
    <col min="9474" max="9474" width="42.75" style="73" customWidth="1"/>
    <col min="9475" max="9482" width="13.375" style="73" customWidth="1"/>
    <col min="9483" max="9729" width="8.25" style="73"/>
    <col min="9730" max="9730" width="42.75" style="73" customWidth="1"/>
    <col min="9731" max="9738" width="13.375" style="73" customWidth="1"/>
    <col min="9739" max="9985" width="8.25" style="73"/>
    <col min="9986" max="9986" width="42.75" style="73" customWidth="1"/>
    <col min="9987" max="9994" width="13.375" style="73" customWidth="1"/>
    <col min="9995" max="10241" width="8.25" style="73"/>
    <col min="10242" max="10242" width="42.75" style="73" customWidth="1"/>
    <col min="10243" max="10250" width="13.375" style="73" customWidth="1"/>
    <col min="10251" max="10497" width="8.25" style="73"/>
    <col min="10498" max="10498" width="42.75" style="73" customWidth="1"/>
    <col min="10499" max="10506" width="13.375" style="73" customWidth="1"/>
    <col min="10507" max="10753" width="8.25" style="73"/>
    <col min="10754" max="10754" width="42.75" style="73" customWidth="1"/>
    <col min="10755" max="10762" width="13.375" style="73" customWidth="1"/>
    <col min="10763" max="11009" width="8.25" style="73"/>
    <col min="11010" max="11010" width="42.75" style="73" customWidth="1"/>
    <col min="11011" max="11018" width="13.375" style="73" customWidth="1"/>
    <col min="11019" max="11265" width="8.25" style="73"/>
    <col min="11266" max="11266" width="42.75" style="73" customWidth="1"/>
    <col min="11267" max="11274" width="13.375" style="73" customWidth="1"/>
    <col min="11275" max="11521" width="8.25" style="73"/>
    <col min="11522" max="11522" width="42.75" style="73" customWidth="1"/>
    <col min="11523" max="11530" width="13.375" style="73" customWidth="1"/>
    <col min="11531" max="11777" width="8.25" style="73"/>
    <col min="11778" max="11778" width="42.75" style="73" customWidth="1"/>
    <col min="11779" max="11786" width="13.375" style="73" customWidth="1"/>
    <col min="11787" max="12033" width="8.25" style="73"/>
    <col min="12034" max="12034" width="42.75" style="73" customWidth="1"/>
    <col min="12035" max="12042" width="13.375" style="73" customWidth="1"/>
    <col min="12043" max="12289" width="8.25" style="73"/>
    <col min="12290" max="12290" width="42.75" style="73" customWidth="1"/>
    <col min="12291" max="12298" width="13.375" style="73" customWidth="1"/>
    <col min="12299" max="12545" width="8.25" style="73"/>
    <col min="12546" max="12546" width="42.75" style="73" customWidth="1"/>
    <col min="12547" max="12554" width="13.375" style="73" customWidth="1"/>
    <col min="12555" max="12801" width="8.25" style="73"/>
    <col min="12802" max="12802" width="42.75" style="73" customWidth="1"/>
    <col min="12803" max="12810" width="13.375" style="73" customWidth="1"/>
    <col min="12811" max="13057" width="8.25" style="73"/>
    <col min="13058" max="13058" width="42.75" style="73" customWidth="1"/>
    <col min="13059" max="13066" width="13.375" style="73" customWidth="1"/>
    <col min="13067" max="13313" width="8.25" style="73"/>
    <col min="13314" max="13314" width="42.75" style="73" customWidth="1"/>
    <col min="13315" max="13322" width="13.375" style="73" customWidth="1"/>
    <col min="13323" max="13569" width="8.25" style="73"/>
    <col min="13570" max="13570" width="42.75" style="73" customWidth="1"/>
    <col min="13571" max="13578" width="13.375" style="73" customWidth="1"/>
    <col min="13579" max="13825" width="8.25" style="73"/>
    <col min="13826" max="13826" width="42.75" style="73" customWidth="1"/>
    <col min="13827" max="13834" width="13.375" style="73" customWidth="1"/>
    <col min="13835" max="14081" width="8.25" style="73"/>
    <col min="14082" max="14082" width="42.75" style="73" customWidth="1"/>
    <col min="14083" max="14090" width="13.375" style="73" customWidth="1"/>
    <col min="14091" max="14337" width="8.25" style="73"/>
    <col min="14338" max="14338" width="42.75" style="73" customWidth="1"/>
    <col min="14339" max="14346" width="13.375" style="73" customWidth="1"/>
    <col min="14347" max="14593" width="8.25" style="73"/>
    <col min="14594" max="14594" width="42.75" style="73" customWidth="1"/>
    <col min="14595" max="14602" width="13.375" style="73" customWidth="1"/>
    <col min="14603" max="14849" width="8.25" style="73"/>
    <col min="14850" max="14850" width="42.75" style="73" customWidth="1"/>
    <col min="14851" max="14858" width="13.375" style="73" customWidth="1"/>
    <col min="14859" max="15105" width="8.25" style="73"/>
    <col min="15106" max="15106" width="42.75" style="73" customWidth="1"/>
    <col min="15107" max="15114" width="13.375" style="73" customWidth="1"/>
    <col min="15115" max="15361" width="8.25" style="73"/>
    <col min="15362" max="15362" width="42.75" style="73" customWidth="1"/>
    <col min="15363" max="15370" width="13.375" style="73" customWidth="1"/>
    <col min="15371" max="15617" width="8.25" style="73"/>
    <col min="15618" max="15618" width="42.75" style="73" customWidth="1"/>
    <col min="15619" max="15626" width="13.375" style="73" customWidth="1"/>
    <col min="15627" max="15873" width="8.25" style="73"/>
    <col min="15874" max="15874" width="42.75" style="73" customWidth="1"/>
    <col min="15875" max="15882" width="13.375" style="73" customWidth="1"/>
    <col min="15883" max="16129" width="8.25" style="73"/>
    <col min="16130" max="16130" width="42.75" style="73" customWidth="1"/>
    <col min="16131" max="16138" width="13.375" style="73" customWidth="1"/>
    <col min="16139" max="16384" width="8.25" style="73"/>
  </cols>
  <sheetData>
    <row r="1" spans="1:10" ht="25.5">
      <c r="A1" s="170" t="s">
        <v>69</v>
      </c>
      <c r="B1" s="170"/>
      <c r="C1" s="170"/>
      <c r="D1" s="170"/>
      <c r="E1" s="170"/>
      <c r="F1" s="170"/>
      <c r="G1" s="170"/>
      <c r="H1" s="170"/>
      <c r="I1" s="170"/>
      <c r="J1" s="170"/>
    </row>
    <row r="3" spans="1:10" ht="38.25">
      <c r="A3" s="74" t="s">
        <v>53</v>
      </c>
      <c r="B3" s="74" t="s">
        <v>70</v>
      </c>
      <c r="C3" s="74" t="s">
        <v>3</v>
      </c>
      <c r="D3" s="74" t="s">
        <v>4</v>
      </c>
      <c r="E3" s="74" t="s">
        <v>5</v>
      </c>
      <c r="F3" s="74" t="s">
        <v>6</v>
      </c>
      <c r="G3" s="74" t="s">
        <v>7</v>
      </c>
      <c r="H3" s="74" t="s">
        <v>71</v>
      </c>
      <c r="I3" s="74" t="s">
        <v>72</v>
      </c>
      <c r="J3" s="74" t="s">
        <v>73</v>
      </c>
    </row>
    <row r="4" spans="1:10">
      <c r="A4" s="75">
        <v>1</v>
      </c>
      <c r="B4" s="76" t="str">
        <f>YC02_Web!D2</f>
        <v xml:space="preserve">YC02_Tách widget Chờ xử lý cá nhân và Chờ xử lý đơn vị </v>
      </c>
      <c r="C4" s="77">
        <f>YC02_Web!D4</f>
        <v>16</v>
      </c>
      <c r="D4" s="77">
        <f>YC02_Web!D5</f>
        <v>0</v>
      </c>
      <c r="E4" s="77">
        <f>YC02_Web!D6</f>
        <v>0</v>
      </c>
      <c r="F4" s="77">
        <f>YC02_Web!D7</f>
        <v>0</v>
      </c>
      <c r="G4" s="77">
        <f>YC02_Web!D8</f>
        <v>16</v>
      </c>
      <c r="H4" s="78">
        <f t="shared" ref="H4:H12" si="0">C4/G4</f>
        <v>1</v>
      </c>
      <c r="I4" s="78">
        <f t="shared" ref="I4:I12" si="1">D4/G4</f>
        <v>0</v>
      </c>
      <c r="J4" s="78">
        <f t="shared" ref="J4:J12" si="2">(C4+D4)/G4</f>
        <v>1</v>
      </c>
    </row>
    <row r="5" spans="1:10">
      <c r="A5" s="75">
        <v>1</v>
      </c>
      <c r="B5" s="76" t="str">
        <f>YC02_Web!D2</f>
        <v xml:space="preserve">YC02_Tách widget Chờ xử lý cá nhân và Chờ xử lý đơn vị </v>
      </c>
      <c r="C5" s="77">
        <f>YC02_Web!D4</f>
        <v>16</v>
      </c>
      <c r="D5" s="77">
        <f>YC02_Web!D5</f>
        <v>0</v>
      </c>
      <c r="E5" s="77">
        <f>YC02_Web!D6</f>
        <v>0</v>
      </c>
      <c r="F5" s="77">
        <f>YC02_Web!D7</f>
        <v>0</v>
      </c>
      <c r="G5" s="77">
        <f>YC02_Web!D8</f>
        <v>16</v>
      </c>
      <c r="H5" s="78">
        <f t="shared" ref="H5" si="3">C5/G5</f>
        <v>1</v>
      </c>
      <c r="I5" s="78">
        <f t="shared" ref="I5" si="4">D5/G5</f>
        <v>0</v>
      </c>
      <c r="J5" s="78">
        <f t="shared" ref="J5" si="5">(C5+D5)/G5</f>
        <v>1</v>
      </c>
    </row>
    <row r="6" spans="1:10">
      <c r="A6" s="75">
        <v>1</v>
      </c>
      <c r="B6" s="76" t="str">
        <f>YC02_Web!D2</f>
        <v xml:space="preserve">YC02_Tách widget Chờ xử lý cá nhân và Chờ xử lý đơn vị </v>
      </c>
      <c r="C6" s="77">
        <f>YC02_Web!D4</f>
        <v>16</v>
      </c>
      <c r="D6" s="77">
        <f>YC02_Web!D5</f>
        <v>0</v>
      </c>
      <c r="E6" s="77">
        <f>YC02_Web!D6</f>
        <v>0</v>
      </c>
      <c r="F6" s="77">
        <f>YC02_Web!D7</f>
        <v>0</v>
      </c>
      <c r="G6" s="77">
        <f>YC02_Web!D8</f>
        <v>16</v>
      </c>
      <c r="H6" s="78">
        <f t="shared" ref="H6" si="6">C6/G6</f>
        <v>1</v>
      </c>
      <c r="I6" s="78">
        <f t="shared" ref="I6" si="7">D6/G6</f>
        <v>0</v>
      </c>
      <c r="J6" s="78">
        <f t="shared" ref="J6" si="8">(C6+D6)/G6</f>
        <v>1</v>
      </c>
    </row>
    <row r="7" spans="1:10">
      <c r="A7" s="75">
        <v>1</v>
      </c>
      <c r="B7" s="76" t="str">
        <f>YC02_Web!D2</f>
        <v xml:space="preserve">YC02_Tách widget Chờ xử lý cá nhân và Chờ xử lý đơn vị </v>
      </c>
      <c r="C7" s="77">
        <f>YC02_Web!D4</f>
        <v>16</v>
      </c>
      <c r="D7" s="77">
        <f>YC02_Web!D5</f>
        <v>0</v>
      </c>
      <c r="E7" s="77">
        <f>YC02_Web!D6</f>
        <v>0</v>
      </c>
      <c r="F7" s="77">
        <f>YC02_Web!D7</f>
        <v>0</v>
      </c>
      <c r="G7" s="77">
        <f>YC02_Web!D8</f>
        <v>16</v>
      </c>
      <c r="H7" s="78">
        <f t="shared" ref="H7" si="9">C7/G7</f>
        <v>1</v>
      </c>
      <c r="I7" s="78">
        <f t="shared" ref="I7" si="10">D7/G7</f>
        <v>0</v>
      </c>
      <c r="J7" s="78">
        <f t="shared" ref="J7" si="11">(C7+D7)/G7</f>
        <v>1</v>
      </c>
    </row>
    <row r="8" spans="1:10">
      <c r="A8" s="75"/>
      <c r="B8" s="76"/>
      <c r="C8" s="77"/>
      <c r="D8" s="77"/>
      <c r="E8" s="77"/>
      <c r="F8" s="77"/>
      <c r="G8" s="77"/>
      <c r="H8" s="78"/>
      <c r="I8" s="78"/>
      <c r="J8" s="78"/>
    </row>
    <row r="9" spans="1:10">
      <c r="A9" s="75"/>
      <c r="B9" s="76"/>
      <c r="C9" s="77"/>
      <c r="D9" s="77"/>
      <c r="E9" s="77"/>
      <c r="F9" s="77"/>
      <c r="G9" s="77"/>
      <c r="H9" s="78"/>
      <c r="I9" s="78"/>
      <c r="J9" s="78"/>
    </row>
    <row r="10" spans="1:10">
      <c r="A10" s="75"/>
      <c r="B10" s="76"/>
      <c r="C10" s="77"/>
      <c r="D10" s="77"/>
      <c r="E10" s="77"/>
      <c r="F10" s="77"/>
      <c r="G10" s="77"/>
      <c r="H10" s="78"/>
      <c r="I10" s="78"/>
      <c r="J10" s="78"/>
    </row>
    <row r="11" spans="1:10">
      <c r="A11" s="75"/>
      <c r="B11" s="76"/>
      <c r="C11" s="77"/>
      <c r="D11" s="77"/>
      <c r="E11" s="77"/>
      <c r="F11" s="77"/>
      <c r="G11" s="77"/>
      <c r="H11" s="78"/>
      <c r="I11" s="78"/>
      <c r="J11" s="78"/>
    </row>
    <row r="12" spans="1:10" ht="15.75">
      <c r="A12" s="171" t="s">
        <v>74</v>
      </c>
      <c r="B12" s="172"/>
      <c r="C12" s="79">
        <f>SUM(C4:C11)</f>
        <v>64</v>
      </c>
      <c r="D12" s="79">
        <f>SUM(D4:D11)</f>
        <v>0</v>
      </c>
      <c r="E12" s="79">
        <f>SUM(E4:E11)</f>
        <v>0</v>
      </c>
      <c r="F12" s="79">
        <f>SUM(F4:F11)</f>
        <v>0</v>
      </c>
      <c r="G12" s="79">
        <f>SUM(G4:G11)</f>
        <v>64</v>
      </c>
      <c r="H12" s="80">
        <f t="shared" si="0"/>
        <v>1</v>
      </c>
      <c r="I12" s="80">
        <f t="shared" si="1"/>
        <v>0</v>
      </c>
      <c r="J12" s="80">
        <f t="shared" si="2"/>
        <v>1</v>
      </c>
    </row>
  </sheetData>
  <mergeCells count="2">
    <mergeCell ref="A1:J1"/>
    <mergeCell ref="A12:B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U58"/>
  <sheetViews>
    <sheetView topLeftCell="A25" zoomScaleNormal="100" workbookViewId="0">
      <selection activeCell="A15" sqref="A15:A37"/>
    </sheetView>
  </sheetViews>
  <sheetFormatPr defaultColWidth="11.25" defaultRowHeight="15.75" outlineLevelRow="3"/>
  <cols>
    <col min="1" max="1" width="15.25" style="96" customWidth="1"/>
    <col min="2" max="2" width="28.75" style="3" customWidth="1"/>
    <col min="3" max="3" width="58.75" style="3" customWidth="1"/>
    <col min="4" max="4" width="62.125" style="3" customWidth="1"/>
    <col min="5" max="7" width="5.25" style="8" customWidth="1"/>
    <col min="8" max="10" width="5.25" style="8" hidden="1" customWidth="1"/>
    <col min="11" max="16" width="6" style="8" hidden="1" customWidth="1"/>
    <col min="17" max="17" width="8.5" style="8" customWidth="1"/>
    <col min="18" max="18" width="13.5" style="3" customWidth="1"/>
    <col min="19" max="19" width="19.75" style="3" customWidth="1"/>
    <col min="20" max="21" width="7.75" style="3" customWidth="1"/>
    <col min="22" max="16384" width="11.25" style="3"/>
  </cols>
  <sheetData>
    <row r="1" spans="1:47" ht="33" customHeight="1">
      <c r="A1" s="90"/>
      <c r="B1" s="2"/>
      <c r="C1" s="196" t="s">
        <v>0</v>
      </c>
      <c r="D1" s="197"/>
      <c r="E1" s="1"/>
      <c r="F1" s="1"/>
      <c r="G1" s="1"/>
      <c r="H1" s="1"/>
      <c r="I1" s="1"/>
      <c r="J1" s="1"/>
      <c r="K1" s="1"/>
      <c r="L1" s="1"/>
      <c r="M1" s="1"/>
      <c r="N1" s="1"/>
      <c r="O1" s="1"/>
      <c r="P1" s="1"/>
      <c r="Q1" s="1"/>
      <c r="R1" s="2"/>
      <c r="S1" s="2"/>
      <c r="T1" s="2"/>
      <c r="U1" s="2"/>
    </row>
    <row r="2" spans="1:47">
      <c r="A2" s="90"/>
      <c r="B2" s="2"/>
      <c r="C2" s="4" t="s">
        <v>1</v>
      </c>
      <c r="D2" s="5" t="s">
        <v>86</v>
      </c>
      <c r="E2" s="1"/>
      <c r="F2" s="1"/>
      <c r="G2" s="1"/>
      <c r="H2" s="1"/>
      <c r="I2" s="1"/>
      <c r="J2" s="1"/>
      <c r="K2" s="1"/>
      <c r="L2" s="1"/>
      <c r="M2" s="1"/>
      <c r="N2" s="1"/>
      <c r="O2" s="1"/>
      <c r="P2" s="1"/>
      <c r="Q2" s="1"/>
      <c r="R2" s="2"/>
      <c r="S2" s="2"/>
      <c r="T2" s="2"/>
      <c r="U2" s="2"/>
    </row>
    <row r="3" spans="1:47">
      <c r="A3" s="90"/>
      <c r="B3" s="2"/>
      <c r="C3" s="4" t="s">
        <v>2</v>
      </c>
      <c r="D3" s="94" t="s">
        <v>122</v>
      </c>
      <c r="E3" s="1"/>
      <c r="F3" s="1"/>
      <c r="G3" s="1"/>
      <c r="H3" s="1"/>
      <c r="I3" s="1"/>
      <c r="J3" s="1"/>
      <c r="K3" s="1"/>
      <c r="L3" s="1"/>
      <c r="M3" s="1"/>
      <c r="N3" s="1"/>
      <c r="O3" s="1"/>
      <c r="P3" s="1"/>
      <c r="Q3" s="1"/>
      <c r="R3" s="2"/>
      <c r="S3" s="2"/>
      <c r="T3" s="2"/>
      <c r="U3" s="2"/>
    </row>
    <row r="4" spans="1:47">
      <c r="A4" s="90"/>
      <c r="B4" s="2"/>
      <c r="C4" s="4" t="s">
        <v>3</v>
      </c>
      <c r="D4" s="6">
        <f>COUNTIF($E$13:$E$39,"P")</f>
        <v>16</v>
      </c>
      <c r="E4" s="1"/>
      <c r="F4" s="1"/>
      <c r="G4" s="1"/>
      <c r="H4" s="1"/>
      <c r="I4" s="1"/>
      <c r="J4" s="1"/>
      <c r="K4" s="1"/>
      <c r="L4" s="1"/>
      <c r="M4" s="1"/>
      <c r="N4" s="1"/>
      <c r="O4" s="1"/>
      <c r="P4" s="1"/>
      <c r="Q4" s="1"/>
      <c r="R4" s="2"/>
      <c r="S4" s="2"/>
      <c r="T4" s="2"/>
      <c r="U4" s="2"/>
    </row>
    <row r="5" spans="1:47">
      <c r="A5" s="90"/>
      <c r="B5" s="2"/>
      <c r="C5" s="4" t="s">
        <v>4</v>
      </c>
      <c r="D5" s="6">
        <f>COUNTIF($E$13:$E$39,"F")</f>
        <v>0</v>
      </c>
      <c r="E5" s="1"/>
      <c r="F5" s="1"/>
      <c r="G5" s="1"/>
      <c r="H5" s="1"/>
      <c r="I5" s="1"/>
      <c r="J5" s="1"/>
      <c r="K5" s="1"/>
      <c r="L5" s="1"/>
      <c r="M5" s="1"/>
      <c r="N5" s="1"/>
      <c r="O5" s="1"/>
      <c r="P5" s="1"/>
      <c r="Q5" s="1"/>
      <c r="R5" s="2"/>
      <c r="S5" s="2"/>
      <c r="T5" s="2"/>
      <c r="U5" s="2"/>
    </row>
    <row r="6" spans="1:47">
      <c r="A6" s="90"/>
      <c r="B6" s="2"/>
      <c r="C6" s="4" t="s">
        <v>5</v>
      </c>
      <c r="D6" s="6">
        <f>COUNTIF($Q$13:$Q$13,"PE")</f>
        <v>0</v>
      </c>
      <c r="E6" s="1"/>
      <c r="F6" s="1"/>
      <c r="G6" s="1"/>
      <c r="H6" s="1"/>
      <c r="I6" s="1"/>
      <c r="J6" s="1"/>
      <c r="K6" s="1"/>
      <c r="L6" s="1"/>
      <c r="M6" s="1"/>
      <c r="N6" s="1"/>
      <c r="O6" s="1"/>
      <c r="P6" s="1"/>
      <c r="Q6" s="1"/>
      <c r="R6" s="2"/>
      <c r="S6" s="2"/>
      <c r="T6" s="2"/>
      <c r="U6" s="2"/>
    </row>
    <row r="7" spans="1:47">
      <c r="A7" s="90"/>
      <c r="B7" s="2"/>
      <c r="C7" s="4" t="s">
        <v>6</v>
      </c>
      <c r="D7" s="6">
        <f>D8-D4-D5-D6</f>
        <v>0</v>
      </c>
      <c r="E7" s="1"/>
      <c r="F7" s="1"/>
      <c r="G7" s="1"/>
      <c r="H7" s="1"/>
      <c r="I7" s="1"/>
      <c r="J7" s="1"/>
      <c r="K7" s="1"/>
      <c r="L7" s="1"/>
      <c r="M7" s="1"/>
      <c r="N7" s="1"/>
      <c r="O7" s="1"/>
      <c r="P7" s="1"/>
      <c r="Q7" s="1"/>
      <c r="R7" s="2"/>
      <c r="S7" s="2"/>
      <c r="T7" s="2"/>
      <c r="U7" s="2"/>
    </row>
    <row r="8" spans="1:47">
      <c r="A8" s="90"/>
      <c r="B8" s="2"/>
      <c r="C8" s="4" t="s">
        <v>7</v>
      </c>
      <c r="D8" s="6">
        <f>COUNTA($Q$13:$Q$699)</f>
        <v>16</v>
      </c>
      <c r="E8" s="1"/>
      <c r="F8" s="1"/>
      <c r="G8" s="1"/>
      <c r="H8" s="1"/>
      <c r="I8" s="1"/>
      <c r="J8" s="1"/>
      <c r="K8" s="1"/>
      <c r="L8" s="1"/>
      <c r="M8" s="1"/>
      <c r="N8" s="1"/>
      <c r="O8" s="1"/>
      <c r="P8" s="1"/>
      <c r="Q8" s="1"/>
      <c r="R8" s="2"/>
      <c r="S8" s="2"/>
      <c r="T8" s="2"/>
      <c r="U8" s="2"/>
    </row>
    <row r="9" spans="1:47">
      <c r="A9" s="90"/>
      <c r="B9" s="2"/>
      <c r="C9" s="2"/>
      <c r="D9" s="2"/>
      <c r="E9" s="1"/>
      <c r="F9" s="1"/>
      <c r="G9" s="1"/>
      <c r="H9" s="1"/>
      <c r="I9" s="1"/>
      <c r="J9" s="1"/>
      <c r="K9" s="1"/>
      <c r="L9" s="1"/>
      <c r="M9" s="1"/>
      <c r="N9" s="1"/>
      <c r="O9" s="1"/>
      <c r="P9" s="1"/>
      <c r="Q9" s="1"/>
      <c r="R9" s="2"/>
      <c r="S9" s="2"/>
      <c r="T9" s="2"/>
      <c r="U9" s="2"/>
    </row>
    <row r="10" spans="1:47">
      <c r="A10" s="193" t="s">
        <v>2</v>
      </c>
      <c r="B10" s="193" t="s">
        <v>8</v>
      </c>
      <c r="C10" s="193" t="s">
        <v>9</v>
      </c>
      <c r="D10" s="193" t="s">
        <v>10</v>
      </c>
      <c r="E10" s="190" t="s">
        <v>11</v>
      </c>
      <c r="F10" s="191"/>
      <c r="G10" s="192"/>
      <c r="H10" s="190" t="s">
        <v>12</v>
      </c>
      <c r="I10" s="191"/>
      <c r="J10" s="192"/>
      <c r="K10" s="190" t="s">
        <v>13</v>
      </c>
      <c r="L10" s="191"/>
      <c r="M10" s="192"/>
      <c r="N10" s="190" t="s">
        <v>14</v>
      </c>
      <c r="O10" s="191"/>
      <c r="P10" s="192"/>
      <c r="Q10" s="193" t="s">
        <v>15</v>
      </c>
      <c r="R10" s="193" t="s">
        <v>16</v>
      </c>
      <c r="S10" s="193" t="s">
        <v>17</v>
      </c>
      <c r="T10" s="1"/>
      <c r="U10" s="1"/>
      <c r="V10" s="1"/>
      <c r="W10" s="8"/>
      <c r="X10" s="8"/>
      <c r="Y10" s="8"/>
      <c r="Z10" s="8"/>
      <c r="AA10" s="8"/>
      <c r="AB10" s="8"/>
      <c r="AC10" s="8"/>
      <c r="AD10" s="8"/>
      <c r="AE10" s="8"/>
      <c r="AF10" s="8"/>
      <c r="AG10" s="8"/>
      <c r="AH10" s="8"/>
      <c r="AI10" s="8"/>
      <c r="AJ10" s="8"/>
      <c r="AK10" s="8"/>
      <c r="AL10" s="8"/>
      <c r="AM10" s="8"/>
      <c r="AN10" s="8"/>
      <c r="AO10" s="8"/>
      <c r="AP10" s="8"/>
      <c r="AQ10" s="8"/>
      <c r="AR10" s="8"/>
      <c r="AS10" s="8"/>
      <c r="AT10" s="8"/>
      <c r="AU10" s="8"/>
    </row>
    <row r="11" spans="1:47" ht="31.5">
      <c r="A11" s="198"/>
      <c r="B11" s="199"/>
      <c r="C11" s="199"/>
      <c r="D11" s="199"/>
      <c r="E11" s="116" t="s">
        <v>18</v>
      </c>
      <c r="F11" s="116" t="s">
        <v>19</v>
      </c>
      <c r="G11" s="116" t="s">
        <v>20</v>
      </c>
      <c r="H11" s="9" t="s">
        <v>18</v>
      </c>
      <c r="I11" s="9" t="s">
        <v>19</v>
      </c>
      <c r="J11" s="9" t="s">
        <v>20</v>
      </c>
      <c r="K11" s="7" t="s">
        <v>18</v>
      </c>
      <c r="L11" s="7" t="s">
        <v>19</v>
      </c>
      <c r="M11" s="7" t="s">
        <v>20</v>
      </c>
      <c r="N11" s="7" t="s">
        <v>18</v>
      </c>
      <c r="O11" s="7" t="s">
        <v>19</v>
      </c>
      <c r="P11" s="7" t="s">
        <v>20</v>
      </c>
      <c r="Q11" s="194"/>
      <c r="R11" s="195"/>
      <c r="S11" s="195"/>
      <c r="T11" s="1"/>
      <c r="U11" s="1"/>
      <c r="V11" s="1"/>
      <c r="W11" s="8"/>
      <c r="X11" s="8"/>
      <c r="Y11" s="8"/>
      <c r="Z11" s="8"/>
      <c r="AA11" s="8"/>
      <c r="AB11" s="8"/>
      <c r="AC11" s="8"/>
      <c r="AD11" s="8"/>
      <c r="AE11" s="8"/>
      <c r="AF11" s="8"/>
      <c r="AG11" s="8"/>
      <c r="AH11" s="8"/>
      <c r="AI11" s="8"/>
      <c r="AJ11" s="8"/>
      <c r="AK11" s="8"/>
      <c r="AL11" s="8"/>
      <c r="AM11" s="8"/>
      <c r="AN11" s="8"/>
      <c r="AO11" s="8"/>
      <c r="AP11" s="8"/>
      <c r="AQ11" s="8"/>
      <c r="AR11" s="8"/>
      <c r="AS11" s="8"/>
      <c r="AT11" s="8"/>
      <c r="AU11" s="8"/>
    </row>
    <row r="12" spans="1:47" s="92" customFormat="1" ht="15.75" customHeight="1">
      <c r="A12" s="97"/>
      <c r="B12" s="185" t="s">
        <v>117</v>
      </c>
      <c r="C12" s="186"/>
      <c r="D12" s="186"/>
      <c r="E12" s="186"/>
      <c r="F12" s="186"/>
      <c r="G12" s="187"/>
      <c r="H12" s="131"/>
      <c r="I12" s="131"/>
      <c r="J12" s="131"/>
      <c r="K12" s="131"/>
      <c r="L12" s="131"/>
      <c r="M12" s="131"/>
      <c r="N12" s="131"/>
      <c r="O12" s="131"/>
      <c r="P12" s="131"/>
      <c r="Q12" s="132"/>
      <c r="R12" s="117"/>
      <c r="S12" s="133"/>
      <c r="T12" s="90"/>
      <c r="U12" s="90"/>
      <c r="V12" s="90"/>
      <c r="W12" s="96"/>
      <c r="X12" s="96"/>
      <c r="Y12" s="96"/>
      <c r="Z12" s="96"/>
      <c r="AA12" s="96"/>
      <c r="AB12" s="96"/>
      <c r="AC12" s="96"/>
      <c r="AD12" s="96"/>
      <c r="AE12" s="96"/>
      <c r="AF12" s="96"/>
      <c r="AG12" s="96"/>
      <c r="AH12" s="96"/>
      <c r="AI12" s="96"/>
      <c r="AJ12" s="96"/>
      <c r="AK12" s="96"/>
      <c r="AL12" s="96"/>
      <c r="AM12" s="96"/>
      <c r="AN12" s="96"/>
      <c r="AO12" s="96"/>
      <c r="AP12" s="96"/>
      <c r="AQ12" s="96"/>
      <c r="AR12" s="96"/>
      <c r="AS12" s="96"/>
      <c r="AT12" s="96"/>
      <c r="AU12" s="96"/>
    </row>
    <row r="13" spans="1:47" ht="162.75" customHeight="1">
      <c r="A13" s="97"/>
      <c r="B13" s="188" t="s">
        <v>77</v>
      </c>
      <c r="C13" s="189"/>
      <c r="D13" s="189"/>
      <c r="E13" s="10"/>
      <c r="F13" s="10"/>
      <c r="G13" s="10"/>
      <c r="H13" s="10"/>
      <c r="I13" s="10"/>
      <c r="J13" s="10"/>
      <c r="K13" s="10"/>
      <c r="L13" s="10"/>
      <c r="M13" s="10"/>
      <c r="N13" s="10"/>
      <c r="O13" s="10"/>
      <c r="P13" s="10"/>
      <c r="Q13" s="10"/>
      <c r="R13" s="11"/>
      <c r="S13" s="12"/>
      <c r="T13" s="13"/>
      <c r="U13" s="13"/>
      <c r="V13" s="13"/>
    </row>
    <row r="14" spans="1:47" ht="16.149999999999999" customHeight="1" outlineLevel="1">
      <c r="A14" s="101" t="str">
        <f>IF(AND(C14="",C14=""),"",$D$3&amp;"_"&amp;ROW()-12-COUNTBLANK($C$14:C14))</f>
        <v/>
      </c>
      <c r="B14" s="14" t="s">
        <v>21</v>
      </c>
      <c r="C14" s="15"/>
      <c r="D14" s="134"/>
      <c r="E14" s="135"/>
      <c r="F14" s="135"/>
      <c r="G14" s="135"/>
      <c r="H14" s="135"/>
      <c r="I14" s="135"/>
      <c r="J14" s="135"/>
      <c r="K14" s="135"/>
      <c r="L14" s="135"/>
      <c r="M14" s="135"/>
      <c r="N14" s="135"/>
      <c r="O14" s="135"/>
      <c r="P14" s="135"/>
      <c r="Q14" s="136"/>
      <c r="R14" s="88"/>
      <c r="S14" s="89"/>
      <c r="T14" s="2"/>
      <c r="U14" s="2"/>
      <c r="V14" s="2"/>
      <c r="W14" s="2"/>
      <c r="X14" s="2"/>
      <c r="Y14" s="2"/>
      <c r="Z14" s="16"/>
      <c r="AA14" s="16"/>
      <c r="AB14" s="16"/>
      <c r="AC14" s="16"/>
      <c r="AD14" s="16"/>
      <c r="AE14" s="16"/>
      <c r="AF14" s="16"/>
      <c r="AG14" s="16"/>
      <c r="AH14" s="16"/>
      <c r="AI14" s="16"/>
      <c r="AJ14" s="16"/>
      <c r="AK14" s="16"/>
      <c r="AL14" s="16"/>
      <c r="AM14" s="16"/>
      <c r="AN14" s="16"/>
      <c r="AO14" s="16"/>
      <c r="AP14" s="16"/>
      <c r="AQ14" s="16"/>
      <c r="AR14" s="16"/>
      <c r="AS14" s="16"/>
      <c r="AT14" s="16"/>
      <c r="AU14" s="16"/>
    </row>
    <row r="15" spans="1:47" ht="94.5" outlineLevel="2">
      <c r="A15" s="101" t="str">
        <f>IF(AND(C15="",C15=""),"",$D$3&amp;"_"&amp;ROW()-12-COUNTBLANK($C$13:C15))</f>
        <v>YC_02_1</v>
      </c>
      <c r="B15" s="87" t="s">
        <v>78</v>
      </c>
      <c r="C15" s="86" t="s">
        <v>79</v>
      </c>
      <c r="D15" s="86" t="s">
        <v>80</v>
      </c>
      <c r="E15" s="85" t="s">
        <v>75</v>
      </c>
      <c r="F15" s="83"/>
      <c r="G15" s="83"/>
      <c r="H15" s="82"/>
      <c r="I15" s="82"/>
      <c r="J15" s="82"/>
      <c r="K15" s="82"/>
      <c r="L15" s="82"/>
      <c r="M15" s="82"/>
      <c r="N15" s="82"/>
      <c r="O15" s="82"/>
      <c r="P15" s="82"/>
      <c r="Q15" s="84" t="str">
        <f t="shared" ref="Q15" si="0">IF(OR(IF(G15="",IF(F15="",IF(E15="","",E15),F15),G15)="F",IF(J15="",IF(I15="",IF(H15="","",H15),I15),J15)="F",IF(M15="",IF(L15="",IF(K15="","",K15),L15),M15)="F",IF(P15="",IF(O15="",IF(N15="","",N15),O15),P15)="F")=TRUE,"F",IF(OR(IF(G15="",IF(F15="",IF(E15="","",E15),F15),G15)="PE",IF(J15="",IF(I15="",IF(H15="","",H15),I15),J15)="PE",IF(M15="",IF(L15="",IF(K15="","",K15),L15),M15)="PE",IF(P15="",IF(O15="",IF(N15="","",N15),O15),P15)="PE")=TRUE,"PE",IF(AND(IF(G15="",IF(F15="",IF(E15="","",E15),F15),G15)="",IF(J15="",IF(I15="",IF(H15="","",H15),I15),J15)="",IF(M15="",IF(L15="",IF(K15="","",K15),L15),M15)="",IF(P15="",IF(O15="",IF(N15="","",N15),O15),P15)="")=TRUE,"","P")))</f>
        <v>P</v>
      </c>
      <c r="R15" s="17"/>
      <c r="S15" s="18"/>
      <c r="T15" s="19"/>
      <c r="U15" s="19"/>
      <c r="V15" s="19"/>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row>
    <row r="16" spans="1:47" s="122" customFormat="1" outlineLevel="1">
      <c r="A16" s="101" t="str">
        <f>IF(AND(C16="",C16=""),"",$D$3&amp;"_"&amp;ROW()-12-COUNTBLANK($C$13:C16))</f>
        <v/>
      </c>
      <c r="B16" s="176" t="s">
        <v>23</v>
      </c>
      <c r="C16" s="177"/>
      <c r="D16" s="177"/>
      <c r="E16" s="177"/>
      <c r="F16" s="177"/>
      <c r="G16" s="177"/>
      <c r="H16" s="177"/>
      <c r="I16" s="177"/>
      <c r="J16" s="177"/>
      <c r="K16" s="177"/>
      <c r="L16" s="177"/>
      <c r="M16" s="177"/>
      <c r="N16" s="177"/>
      <c r="O16" s="177"/>
      <c r="P16" s="177"/>
      <c r="Q16" s="178"/>
      <c r="R16" s="118"/>
      <c r="S16" s="119"/>
      <c r="T16" s="120"/>
      <c r="U16" s="120"/>
      <c r="V16" s="120"/>
      <c r="W16" s="121"/>
      <c r="X16" s="121"/>
      <c r="Y16" s="121"/>
      <c r="Z16" s="121"/>
      <c r="AA16" s="121"/>
      <c r="AB16" s="121"/>
      <c r="AC16" s="121"/>
      <c r="AD16" s="121"/>
      <c r="AE16" s="121"/>
      <c r="AF16" s="121"/>
      <c r="AG16" s="121"/>
      <c r="AH16" s="121"/>
      <c r="AI16" s="121"/>
      <c r="AJ16" s="121"/>
      <c r="AK16" s="121"/>
      <c r="AL16" s="121"/>
      <c r="AM16" s="121"/>
      <c r="AN16" s="121"/>
      <c r="AO16" s="121"/>
      <c r="AP16" s="121"/>
      <c r="AQ16" s="121"/>
      <c r="AR16" s="121"/>
      <c r="AS16" s="121"/>
      <c r="AT16" s="121"/>
      <c r="AU16" s="121"/>
    </row>
    <row r="17" spans="1:47" s="92" customFormat="1" outlineLevel="2">
      <c r="A17" s="101" t="str">
        <f>IF(AND(C17="",C17=""),"",$D$3&amp;"_"&amp;ROW()-12-COUNTBLANK($C$13:C17))</f>
        <v/>
      </c>
      <c r="B17" s="182" t="s">
        <v>83</v>
      </c>
      <c r="C17" s="183"/>
      <c r="D17" s="183"/>
      <c r="E17" s="183"/>
      <c r="F17" s="183"/>
      <c r="G17" s="183"/>
      <c r="H17" s="183"/>
      <c r="I17" s="183"/>
      <c r="J17" s="183"/>
      <c r="K17" s="183"/>
      <c r="L17" s="183"/>
      <c r="M17" s="183"/>
      <c r="N17" s="183"/>
      <c r="O17" s="183"/>
      <c r="P17" s="183"/>
      <c r="Q17" s="184"/>
      <c r="R17" s="110"/>
      <c r="S17" s="111"/>
      <c r="T17" s="19"/>
      <c r="U17" s="19"/>
      <c r="V17" s="19"/>
      <c r="W17" s="104"/>
      <c r="X17" s="104"/>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row>
    <row r="18" spans="1:47" s="105" customFormat="1" ht="47.25" outlineLevel="3">
      <c r="A18" s="101" t="str">
        <f>IF(AND(C18="",C18=""),"",$D$3&amp;"_"&amp;ROW()-12-COUNTBLANK($C$13:C18))</f>
        <v>YC_02_2</v>
      </c>
      <c r="B18" s="130" t="s">
        <v>85</v>
      </c>
      <c r="C18" s="130" t="s">
        <v>87</v>
      </c>
      <c r="D18" s="130" t="s">
        <v>88</v>
      </c>
      <c r="E18" s="109" t="s">
        <v>75</v>
      </c>
      <c r="F18" s="125"/>
      <c r="G18" s="125"/>
      <c r="H18" s="124"/>
      <c r="I18" s="124"/>
      <c r="J18" s="124"/>
      <c r="K18" s="124"/>
      <c r="L18" s="124"/>
      <c r="M18" s="124"/>
      <c r="N18" s="124"/>
      <c r="O18" s="124"/>
      <c r="P18" s="124"/>
      <c r="Q18" s="108" t="str">
        <f t="shared" ref="Q18" si="1">IF(OR(IF(G18="",IF(F18="",IF(E18="","",E18),F18),G18)="F",IF(J18="",IF(I18="",IF(H18="","",H18),I18),J18)="F",IF(M18="",IF(L18="",IF(K18="","",K18),L18),M18)="F",IF(P18="",IF(O18="",IF(N18="","",N18),O18),P18)="F")=TRUE,"F",IF(OR(IF(G18="",IF(F18="",IF(E18="","",E18),F18),G18)="PE",IF(J18="",IF(I18="",IF(H18="","",H18),I18),J18)="PE",IF(M18="",IF(L18="",IF(K18="","",K18),L18),M18)="PE",IF(P18="",IF(O18="",IF(N18="","",N18),O18),P18)="PE")=TRUE,"PE",IF(AND(IF(G18="",IF(F18="",IF(E18="","",E18),F18),G18)="",IF(J18="",IF(I18="",IF(H18="","",H18),I18),J18)="",IF(M18="",IF(L18="",IF(K18="","",K18),L18),M18)="",IF(P18="",IF(O18="",IF(N18="","",N18),O18),P18)="")=TRUE,"","P")))</f>
        <v>P</v>
      </c>
      <c r="R18" s="126"/>
      <c r="S18" s="127"/>
      <c r="T18" s="128"/>
      <c r="U18" s="128"/>
      <c r="V18" s="128"/>
      <c r="W18" s="129"/>
      <c r="X18" s="129"/>
      <c r="Y18" s="129"/>
      <c r="Z18" s="129"/>
      <c r="AA18" s="129"/>
      <c r="AB18" s="129"/>
      <c r="AC18" s="129"/>
      <c r="AD18" s="129"/>
      <c r="AE18" s="129"/>
      <c r="AF18" s="129"/>
      <c r="AG18" s="129"/>
      <c r="AH18" s="129"/>
      <c r="AI18" s="129"/>
      <c r="AJ18" s="129"/>
      <c r="AK18" s="129"/>
      <c r="AL18" s="129"/>
      <c r="AM18" s="129"/>
      <c r="AN18" s="129"/>
      <c r="AO18" s="129"/>
      <c r="AP18" s="129"/>
      <c r="AQ18" s="129"/>
      <c r="AR18" s="129"/>
      <c r="AS18" s="129"/>
      <c r="AT18" s="129"/>
      <c r="AU18" s="129"/>
    </row>
    <row r="19" spans="1:47" s="105" customFormat="1" ht="47.25" outlineLevel="3">
      <c r="A19" s="101" t="str">
        <f>IF(AND(C19="",C19=""),"",$D$3&amp;"_"&amp;ROW()-12-COUNTBLANK($C$13:C19))</f>
        <v>YC_02_3</v>
      </c>
      <c r="B19" s="130" t="s">
        <v>81</v>
      </c>
      <c r="C19" s="130" t="s">
        <v>84</v>
      </c>
      <c r="D19" s="130" t="s">
        <v>89</v>
      </c>
      <c r="E19" s="109" t="s">
        <v>75</v>
      </c>
      <c r="F19" s="125"/>
      <c r="G19" s="125"/>
      <c r="H19" s="124"/>
      <c r="I19" s="124"/>
      <c r="J19" s="124"/>
      <c r="K19" s="124"/>
      <c r="L19" s="124"/>
      <c r="M19" s="124"/>
      <c r="N19" s="124"/>
      <c r="O19" s="124"/>
      <c r="P19" s="124"/>
      <c r="Q19" s="108" t="str">
        <f t="shared" ref="Q19:Q26" si="2">IF(OR(IF(G19="",IF(F19="",IF(E19="","",E19),F19),G19)="F",IF(J19="",IF(I19="",IF(H19="","",H19),I19),J19)="F",IF(M19="",IF(L19="",IF(K19="","",K19),L19),M19)="F",IF(P19="",IF(O19="",IF(N19="","",N19),O19),P19)="F")=TRUE,"F",IF(OR(IF(G19="",IF(F19="",IF(E19="","",E19),F19),G19)="PE",IF(J19="",IF(I19="",IF(H19="","",H19),I19),J19)="PE",IF(M19="",IF(L19="",IF(K19="","",K19),L19),M19)="PE",IF(P19="",IF(O19="",IF(N19="","",N19),O19),P19)="PE")=TRUE,"PE",IF(AND(IF(G19="",IF(F19="",IF(E19="","",E19),F19),G19)="",IF(J19="",IF(I19="",IF(H19="","",H19),I19),J19)="",IF(M19="",IF(L19="",IF(K19="","",K19),L19),M19)="",IF(P19="",IF(O19="",IF(N19="","",N19),O19),P19)="")=TRUE,"","P")))</f>
        <v>P</v>
      </c>
      <c r="R19" s="126"/>
      <c r="S19" s="127"/>
      <c r="T19" s="128"/>
      <c r="U19" s="128"/>
      <c r="V19" s="128"/>
      <c r="W19" s="129"/>
      <c r="X19" s="129"/>
      <c r="Y19" s="129"/>
      <c r="Z19" s="129"/>
      <c r="AA19" s="129"/>
      <c r="AB19" s="129"/>
      <c r="AC19" s="129"/>
      <c r="AD19" s="129"/>
      <c r="AE19" s="129"/>
      <c r="AF19" s="129"/>
      <c r="AG19" s="129"/>
      <c r="AH19" s="129"/>
      <c r="AI19" s="129"/>
      <c r="AJ19" s="129"/>
      <c r="AK19" s="129"/>
      <c r="AL19" s="129"/>
      <c r="AM19" s="129"/>
      <c r="AN19" s="129"/>
      <c r="AO19" s="129"/>
      <c r="AP19" s="129"/>
      <c r="AQ19" s="129"/>
      <c r="AR19" s="129"/>
      <c r="AS19" s="129"/>
      <c r="AT19" s="129"/>
      <c r="AU19" s="129"/>
    </row>
    <row r="20" spans="1:47" s="105" customFormat="1" ht="47.25" outlineLevel="3">
      <c r="A20" s="101" t="str">
        <f>IF(AND(C20="",C20=""),"",$D$3&amp;"_"&amp;ROW()-12-COUNTBLANK($C$13:C20))</f>
        <v>YC_02_4</v>
      </c>
      <c r="B20" s="130" t="s">
        <v>82</v>
      </c>
      <c r="C20" s="130" t="s">
        <v>90</v>
      </c>
      <c r="D20" s="130" t="s">
        <v>91</v>
      </c>
      <c r="E20" s="109" t="s">
        <v>75</v>
      </c>
      <c r="F20" s="125"/>
      <c r="G20" s="125"/>
      <c r="H20" s="124"/>
      <c r="I20" s="124"/>
      <c r="J20" s="124"/>
      <c r="K20" s="124"/>
      <c r="L20" s="124"/>
      <c r="M20" s="124"/>
      <c r="N20" s="124"/>
      <c r="O20" s="124"/>
      <c r="P20" s="124"/>
      <c r="Q20" s="108" t="str">
        <f t="shared" si="2"/>
        <v>P</v>
      </c>
      <c r="R20" s="126"/>
      <c r="S20" s="127"/>
      <c r="T20" s="128"/>
      <c r="U20" s="128"/>
      <c r="V20" s="128"/>
      <c r="W20" s="129"/>
      <c r="X20" s="129"/>
      <c r="Y20" s="129"/>
      <c r="Z20" s="129"/>
      <c r="AA20" s="129"/>
      <c r="AB20" s="129"/>
      <c r="AC20" s="129"/>
      <c r="AD20" s="129"/>
      <c r="AE20" s="129"/>
      <c r="AF20" s="129"/>
      <c r="AG20" s="129"/>
      <c r="AH20" s="129"/>
      <c r="AI20" s="129"/>
      <c r="AJ20" s="129"/>
      <c r="AK20" s="129"/>
      <c r="AL20" s="129"/>
      <c r="AM20" s="129"/>
      <c r="AN20" s="129"/>
      <c r="AO20" s="129"/>
      <c r="AP20" s="129"/>
      <c r="AQ20" s="129"/>
      <c r="AR20" s="129"/>
      <c r="AS20" s="129"/>
      <c r="AT20" s="129"/>
      <c r="AU20" s="129"/>
    </row>
    <row r="21" spans="1:47" s="105" customFormat="1" ht="47.25" outlineLevel="3">
      <c r="A21" s="101" t="str">
        <f>IF(AND(C21="",C21=""),"",$D$3&amp;"_"&amp;ROW()-12-COUNTBLANK($C$13:C21))</f>
        <v>YC_02_5</v>
      </c>
      <c r="B21" s="130" t="s">
        <v>94</v>
      </c>
      <c r="C21" s="130" t="s">
        <v>92</v>
      </c>
      <c r="D21" s="130" t="s">
        <v>93</v>
      </c>
      <c r="E21" s="109" t="s">
        <v>75</v>
      </c>
      <c r="F21" s="125"/>
      <c r="G21" s="125"/>
      <c r="H21" s="124"/>
      <c r="I21" s="124"/>
      <c r="J21" s="124"/>
      <c r="K21" s="124"/>
      <c r="L21" s="124"/>
      <c r="M21" s="124"/>
      <c r="N21" s="124"/>
      <c r="O21" s="124"/>
      <c r="P21" s="124"/>
      <c r="Q21" s="108" t="str">
        <f t="shared" si="2"/>
        <v>P</v>
      </c>
      <c r="R21" s="126"/>
      <c r="S21" s="127"/>
      <c r="T21" s="128"/>
      <c r="U21" s="128"/>
      <c r="V21" s="128"/>
      <c r="W21" s="129"/>
      <c r="X21" s="129"/>
      <c r="Y21" s="129"/>
      <c r="Z21" s="129"/>
      <c r="AA21" s="129"/>
      <c r="AB21" s="129"/>
      <c r="AC21" s="129"/>
      <c r="AD21" s="129"/>
      <c r="AE21" s="129"/>
      <c r="AF21" s="129"/>
      <c r="AG21" s="129"/>
      <c r="AH21" s="129"/>
      <c r="AI21" s="129"/>
      <c r="AJ21" s="129"/>
      <c r="AK21" s="129"/>
      <c r="AL21" s="129"/>
      <c r="AM21" s="129"/>
      <c r="AN21" s="129"/>
      <c r="AO21" s="129"/>
      <c r="AP21" s="129"/>
      <c r="AQ21" s="129"/>
      <c r="AR21" s="129"/>
      <c r="AS21" s="129"/>
      <c r="AT21" s="129"/>
      <c r="AU21" s="129"/>
    </row>
    <row r="22" spans="1:47" s="105" customFormat="1" ht="47.25" outlineLevel="3">
      <c r="A22" s="101" t="str">
        <f>IF(AND(C22="",C22=""),"",$D$3&amp;"_"&amp;ROW()-12-COUNTBLANK($C$13:C22))</f>
        <v>YC_02_6</v>
      </c>
      <c r="B22" s="130" t="s">
        <v>95</v>
      </c>
      <c r="C22" s="130" t="s">
        <v>96</v>
      </c>
      <c r="D22" s="130" t="s">
        <v>97</v>
      </c>
      <c r="E22" s="109" t="s">
        <v>75</v>
      </c>
      <c r="F22" s="125"/>
      <c r="G22" s="125"/>
      <c r="H22" s="124"/>
      <c r="I22" s="124"/>
      <c r="J22" s="124"/>
      <c r="K22" s="124"/>
      <c r="L22" s="124"/>
      <c r="M22" s="124"/>
      <c r="N22" s="124"/>
      <c r="O22" s="124"/>
      <c r="P22" s="124"/>
      <c r="Q22" s="108" t="str">
        <f t="shared" si="2"/>
        <v>P</v>
      </c>
      <c r="R22" s="126"/>
      <c r="S22" s="127"/>
      <c r="T22" s="128"/>
      <c r="U22" s="128"/>
      <c r="V22" s="128"/>
      <c r="W22" s="129"/>
      <c r="X22" s="129"/>
      <c r="Y22" s="129"/>
      <c r="Z22" s="129"/>
      <c r="AA22" s="129"/>
      <c r="AB22" s="129"/>
      <c r="AC22" s="129"/>
      <c r="AD22" s="129"/>
      <c r="AE22" s="129"/>
      <c r="AF22" s="129"/>
      <c r="AG22" s="129"/>
      <c r="AH22" s="129"/>
      <c r="AI22" s="129"/>
      <c r="AJ22" s="129"/>
      <c r="AK22" s="129"/>
      <c r="AL22" s="129"/>
      <c r="AM22" s="129"/>
      <c r="AN22" s="129"/>
      <c r="AO22" s="129"/>
      <c r="AP22" s="129"/>
      <c r="AQ22" s="129"/>
      <c r="AR22" s="129"/>
      <c r="AS22" s="129"/>
      <c r="AT22" s="129"/>
      <c r="AU22" s="129"/>
    </row>
    <row r="23" spans="1:47" s="105" customFormat="1" ht="47.25" outlineLevel="3">
      <c r="A23" s="101" t="str">
        <f>IF(AND(C23="",C23=""),"",$D$3&amp;"_"&amp;ROW()-12-COUNTBLANK($C$13:C23))</f>
        <v>YC_02_7</v>
      </c>
      <c r="B23" s="130" t="s">
        <v>98</v>
      </c>
      <c r="C23" s="130" t="s">
        <v>99</v>
      </c>
      <c r="D23" s="130" t="s">
        <v>100</v>
      </c>
      <c r="E23" s="109" t="s">
        <v>75</v>
      </c>
      <c r="F23" s="125"/>
      <c r="G23" s="125"/>
      <c r="H23" s="124"/>
      <c r="I23" s="124"/>
      <c r="J23" s="124"/>
      <c r="K23" s="124"/>
      <c r="L23" s="124"/>
      <c r="M23" s="124"/>
      <c r="N23" s="124"/>
      <c r="O23" s="124"/>
      <c r="P23" s="124"/>
      <c r="Q23" s="108" t="str">
        <f t="shared" si="2"/>
        <v>P</v>
      </c>
      <c r="R23" s="126"/>
      <c r="S23" s="127"/>
      <c r="T23" s="128"/>
      <c r="U23" s="128"/>
      <c r="V23" s="128"/>
      <c r="W23" s="129"/>
      <c r="X23" s="129"/>
      <c r="Y23" s="129"/>
      <c r="Z23" s="129"/>
      <c r="AA23" s="129"/>
      <c r="AB23" s="129"/>
      <c r="AC23" s="129"/>
      <c r="AD23" s="129"/>
      <c r="AE23" s="129"/>
      <c r="AF23" s="129"/>
      <c r="AG23" s="129"/>
      <c r="AH23" s="129"/>
      <c r="AI23" s="129"/>
      <c r="AJ23" s="129"/>
      <c r="AK23" s="129"/>
      <c r="AL23" s="129"/>
      <c r="AM23" s="129"/>
      <c r="AN23" s="129"/>
      <c r="AO23" s="129"/>
      <c r="AP23" s="129"/>
      <c r="AQ23" s="129"/>
      <c r="AR23" s="129"/>
      <c r="AS23" s="129"/>
      <c r="AT23" s="129"/>
      <c r="AU23" s="129"/>
    </row>
    <row r="24" spans="1:47" s="105" customFormat="1" ht="47.25" outlineLevel="3">
      <c r="A24" s="101" t="str">
        <f>IF(AND(C24="",C24=""),"",$D$3&amp;"_"&amp;ROW()-12-COUNTBLANK($C$13:C24))</f>
        <v>YC_02_8</v>
      </c>
      <c r="B24" s="130" t="s">
        <v>101</v>
      </c>
      <c r="C24" s="130" t="s">
        <v>102</v>
      </c>
      <c r="D24" s="130" t="s">
        <v>103</v>
      </c>
      <c r="E24" s="109" t="s">
        <v>75</v>
      </c>
      <c r="F24" s="125"/>
      <c r="G24" s="125"/>
      <c r="H24" s="124"/>
      <c r="I24" s="124"/>
      <c r="J24" s="124"/>
      <c r="K24" s="124"/>
      <c r="L24" s="124"/>
      <c r="M24" s="124"/>
      <c r="N24" s="124"/>
      <c r="O24" s="124"/>
      <c r="P24" s="124"/>
      <c r="Q24" s="108" t="str">
        <f t="shared" si="2"/>
        <v>P</v>
      </c>
      <c r="R24" s="126"/>
      <c r="S24" s="127"/>
      <c r="T24" s="128"/>
      <c r="U24" s="128"/>
      <c r="V24" s="128"/>
      <c r="W24" s="129"/>
      <c r="X24" s="129"/>
      <c r="Y24" s="129"/>
      <c r="Z24" s="129"/>
      <c r="AA24" s="129"/>
      <c r="AB24" s="129"/>
      <c r="AC24" s="129"/>
      <c r="AD24" s="129"/>
      <c r="AE24" s="129"/>
      <c r="AF24" s="129"/>
      <c r="AG24" s="129"/>
      <c r="AH24" s="129"/>
      <c r="AI24" s="129"/>
      <c r="AJ24" s="129"/>
      <c r="AK24" s="129"/>
      <c r="AL24" s="129"/>
      <c r="AM24" s="129"/>
      <c r="AN24" s="129"/>
      <c r="AO24" s="129"/>
      <c r="AP24" s="129"/>
      <c r="AQ24" s="129"/>
      <c r="AR24" s="129"/>
      <c r="AS24" s="129"/>
      <c r="AT24" s="129"/>
      <c r="AU24" s="129"/>
    </row>
    <row r="25" spans="1:47" s="105" customFormat="1" ht="78.75" outlineLevel="3">
      <c r="A25" s="101" t="str">
        <f>IF(AND(C25="",C25=""),"",$D$3&amp;"_"&amp;ROW()-12-COUNTBLANK($C$13:C25))</f>
        <v>YC_02_9</v>
      </c>
      <c r="B25" s="130" t="s">
        <v>107</v>
      </c>
      <c r="C25" s="130" t="s">
        <v>104</v>
      </c>
      <c r="D25" s="130" t="s">
        <v>105</v>
      </c>
      <c r="E25" s="109" t="s">
        <v>75</v>
      </c>
      <c r="F25" s="125"/>
      <c r="G25" s="125"/>
      <c r="H25" s="124"/>
      <c r="I25" s="124"/>
      <c r="J25" s="124"/>
      <c r="K25" s="124"/>
      <c r="L25" s="124"/>
      <c r="M25" s="124"/>
      <c r="N25" s="124"/>
      <c r="O25" s="124"/>
      <c r="P25" s="124"/>
      <c r="Q25" s="108" t="str">
        <f t="shared" si="2"/>
        <v>P</v>
      </c>
      <c r="R25" s="126"/>
      <c r="S25" s="127"/>
      <c r="T25" s="128"/>
      <c r="U25" s="128"/>
      <c r="V25" s="128"/>
      <c r="W25" s="129"/>
      <c r="X25" s="129"/>
      <c r="Y25" s="129"/>
      <c r="Z25" s="129"/>
      <c r="AA25" s="129"/>
      <c r="AB25" s="129"/>
      <c r="AC25" s="129"/>
      <c r="AD25" s="129"/>
      <c r="AE25" s="129"/>
      <c r="AF25" s="129"/>
      <c r="AG25" s="129"/>
      <c r="AH25" s="129"/>
      <c r="AI25" s="129"/>
      <c r="AJ25" s="129"/>
      <c r="AK25" s="129"/>
      <c r="AL25" s="129"/>
      <c r="AM25" s="129"/>
      <c r="AN25" s="129"/>
      <c r="AO25" s="129"/>
      <c r="AP25" s="129"/>
      <c r="AQ25" s="129"/>
      <c r="AR25" s="129"/>
      <c r="AS25" s="129"/>
      <c r="AT25" s="129"/>
      <c r="AU25" s="129"/>
    </row>
    <row r="26" spans="1:47" s="105" customFormat="1" ht="63" outlineLevel="3">
      <c r="A26" s="101" t="str">
        <f>IF(AND(C26="",C26=""),"",$D$3&amp;"_"&amp;ROW()-12-COUNTBLANK($C$13:C26))</f>
        <v>YC_02_10</v>
      </c>
      <c r="B26" s="130" t="s">
        <v>108</v>
      </c>
      <c r="C26" s="130" t="s">
        <v>106</v>
      </c>
      <c r="D26" s="130" t="s">
        <v>109</v>
      </c>
      <c r="E26" s="109" t="s">
        <v>75</v>
      </c>
      <c r="F26" s="125"/>
      <c r="G26" s="125"/>
      <c r="H26" s="124"/>
      <c r="I26" s="124"/>
      <c r="J26" s="124"/>
      <c r="K26" s="124"/>
      <c r="L26" s="124"/>
      <c r="M26" s="124"/>
      <c r="N26" s="124"/>
      <c r="O26" s="124"/>
      <c r="P26" s="124"/>
      <c r="Q26" s="108" t="str">
        <f t="shared" si="2"/>
        <v>P</v>
      </c>
      <c r="R26" s="126"/>
      <c r="S26" s="127"/>
      <c r="T26" s="128"/>
      <c r="U26" s="128"/>
      <c r="V26" s="128"/>
      <c r="W26" s="129"/>
      <c r="X26" s="129"/>
      <c r="Y26" s="129"/>
      <c r="Z26" s="129"/>
      <c r="AA26" s="129"/>
      <c r="AB26" s="129"/>
      <c r="AC26" s="129"/>
      <c r="AD26" s="129"/>
      <c r="AE26" s="129"/>
      <c r="AF26" s="129"/>
      <c r="AG26" s="129"/>
      <c r="AH26" s="129"/>
      <c r="AI26" s="129"/>
      <c r="AJ26" s="129"/>
      <c r="AK26" s="129"/>
      <c r="AL26" s="129"/>
      <c r="AM26" s="129"/>
      <c r="AN26" s="129"/>
      <c r="AO26" s="129"/>
      <c r="AP26" s="129"/>
      <c r="AQ26" s="129"/>
      <c r="AR26" s="129"/>
      <c r="AS26" s="129"/>
      <c r="AT26" s="129"/>
      <c r="AU26" s="129"/>
    </row>
    <row r="27" spans="1:47" s="92" customFormat="1" outlineLevel="2">
      <c r="A27" s="101" t="str">
        <f>IF(AND(C27="",C27=""),"",$D$3&amp;"_"&amp;ROW()-12-COUNTBLANK($C$13:C27))</f>
        <v/>
      </c>
      <c r="B27" s="182" t="s">
        <v>110</v>
      </c>
      <c r="C27" s="183"/>
      <c r="D27" s="183"/>
      <c r="E27" s="183"/>
      <c r="F27" s="183"/>
      <c r="G27" s="183"/>
      <c r="H27" s="183"/>
      <c r="I27" s="183"/>
      <c r="J27" s="183"/>
      <c r="K27" s="183"/>
      <c r="L27" s="183"/>
      <c r="M27" s="183"/>
      <c r="N27" s="183"/>
      <c r="O27" s="183"/>
      <c r="P27" s="183"/>
      <c r="Q27" s="184"/>
      <c r="R27" s="110"/>
      <c r="S27" s="111"/>
      <c r="T27" s="19"/>
      <c r="U27" s="19"/>
      <c r="V27" s="19"/>
      <c r="W27" s="104"/>
      <c r="X27" s="104"/>
      <c r="Y27" s="104"/>
      <c r="Z27" s="104"/>
      <c r="AA27" s="104"/>
      <c r="AB27" s="104"/>
      <c r="AC27" s="104"/>
      <c r="AD27" s="104"/>
      <c r="AE27" s="104"/>
      <c r="AF27" s="104"/>
      <c r="AG27" s="104"/>
      <c r="AH27" s="104"/>
      <c r="AI27" s="104"/>
      <c r="AJ27" s="104"/>
      <c r="AK27" s="104"/>
      <c r="AL27" s="104"/>
      <c r="AM27" s="104"/>
      <c r="AN27" s="104"/>
      <c r="AO27" s="104"/>
      <c r="AP27" s="104"/>
      <c r="AQ27" s="104"/>
      <c r="AR27" s="104"/>
      <c r="AS27" s="104"/>
      <c r="AT27" s="104"/>
      <c r="AU27" s="104"/>
    </row>
    <row r="28" spans="1:47" s="105" customFormat="1" ht="47.25" outlineLevel="3">
      <c r="A28" s="101" t="str">
        <f>IF(AND(C28="",C28=""),"",$D$3&amp;"_"&amp;ROW()-12-COUNTBLANK($C$13:C28))</f>
        <v>YC_02_11</v>
      </c>
      <c r="B28" s="130" t="s">
        <v>85</v>
      </c>
      <c r="C28" s="130" t="s">
        <v>87</v>
      </c>
      <c r="D28" s="130" t="s">
        <v>88</v>
      </c>
      <c r="E28" s="109" t="s">
        <v>75</v>
      </c>
      <c r="F28" s="125"/>
      <c r="G28" s="125"/>
      <c r="H28" s="124"/>
      <c r="I28" s="124"/>
      <c r="J28" s="124"/>
      <c r="K28" s="124"/>
      <c r="L28" s="124"/>
      <c r="M28" s="124"/>
      <c r="N28" s="124"/>
      <c r="O28" s="124"/>
      <c r="P28" s="124"/>
      <c r="Q28" s="108" t="str">
        <f t="shared" ref="Q28:Q33" si="3">IF(OR(IF(G28="",IF(F28="",IF(E28="","",E28),F28),G28)="F",IF(J28="",IF(I28="",IF(H28="","",H28),I28),J28)="F",IF(M28="",IF(L28="",IF(K28="","",K28),L28),M28)="F",IF(P28="",IF(O28="",IF(N28="","",N28),O28),P28)="F")=TRUE,"F",IF(OR(IF(G28="",IF(F28="",IF(E28="","",E28),F28),G28)="PE",IF(J28="",IF(I28="",IF(H28="","",H28),I28),J28)="PE",IF(M28="",IF(L28="",IF(K28="","",K28),L28),M28)="PE",IF(P28="",IF(O28="",IF(N28="","",N28),O28),P28)="PE")=TRUE,"PE",IF(AND(IF(G28="",IF(F28="",IF(E28="","",E28),F28),G28)="",IF(J28="",IF(I28="",IF(H28="","",H28),I28),J28)="",IF(M28="",IF(L28="",IF(K28="","",K28),L28),M28)="",IF(P28="",IF(O28="",IF(N28="","",N28),O28),P28)="")=TRUE,"","P")))</f>
        <v>P</v>
      </c>
      <c r="R28" s="126"/>
      <c r="S28" s="127"/>
      <c r="T28" s="128"/>
      <c r="U28" s="128"/>
      <c r="V28" s="128"/>
      <c r="W28" s="129"/>
      <c r="X28" s="129"/>
      <c r="Y28" s="129"/>
      <c r="Z28" s="129"/>
      <c r="AA28" s="129"/>
      <c r="AB28" s="129"/>
      <c r="AC28" s="129"/>
      <c r="AD28" s="129"/>
      <c r="AE28" s="129"/>
      <c r="AF28" s="129"/>
      <c r="AG28" s="129"/>
      <c r="AH28" s="129"/>
      <c r="AI28" s="129"/>
      <c r="AJ28" s="129"/>
      <c r="AK28" s="129"/>
      <c r="AL28" s="129"/>
      <c r="AM28" s="129"/>
      <c r="AN28" s="129"/>
      <c r="AO28" s="129"/>
      <c r="AP28" s="129"/>
      <c r="AQ28" s="129"/>
      <c r="AR28" s="129"/>
      <c r="AS28" s="129"/>
      <c r="AT28" s="129"/>
      <c r="AU28" s="129"/>
    </row>
    <row r="29" spans="1:47" s="105" customFormat="1" ht="47.25" outlineLevel="3">
      <c r="A29" s="101" t="str">
        <f>IF(AND(C29="",C29=""),"",$D$3&amp;"_"&amp;ROW()-12-COUNTBLANK($C$13:C29))</f>
        <v>YC_02_12</v>
      </c>
      <c r="B29" s="130" t="s">
        <v>82</v>
      </c>
      <c r="C29" s="130" t="s">
        <v>90</v>
      </c>
      <c r="D29" s="130" t="s">
        <v>91</v>
      </c>
      <c r="E29" s="109" t="s">
        <v>75</v>
      </c>
      <c r="F29" s="125"/>
      <c r="G29" s="125"/>
      <c r="H29" s="124"/>
      <c r="I29" s="124"/>
      <c r="J29" s="124"/>
      <c r="K29" s="124"/>
      <c r="L29" s="124"/>
      <c r="M29" s="124"/>
      <c r="N29" s="124"/>
      <c r="O29" s="124"/>
      <c r="P29" s="124"/>
      <c r="Q29" s="108" t="str">
        <f t="shared" si="3"/>
        <v>P</v>
      </c>
      <c r="R29" s="126"/>
      <c r="S29" s="127"/>
      <c r="T29" s="128"/>
      <c r="U29" s="128"/>
      <c r="V29" s="128"/>
      <c r="W29" s="129"/>
      <c r="X29" s="129"/>
      <c r="Y29" s="129"/>
      <c r="Z29" s="129"/>
      <c r="AA29" s="129"/>
      <c r="AB29" s="129"/>
      <c r="AC29" s="129"/>
      <c r="AD29" s="129"/>
      <c r="AE29" s="129"/>
      <c r="AF29" s="129"/>
      <c r="AG29" s="129"/>
      <c r="AH29" s="129"/>
      <c r="AI29" s="129"/>
      <c r="AJ29" s="129"/>
      <c r="AK29" s="129"/>
      <c r="AL29" s="129"/>
      <c r="AM29" s="129"/>
      <c r="AN29" s="129"/>
      <c r="AO29" s="129"/>
      <c r="AP29" s="129"/>
      <c r="AQ29" s="129"/>
      <c r="AR29" s="129"/>
      <c r="AS29" s="129"/>
      <c r="AT29" s="129"/>
      <c r="AU29" s="129"/>
    </row>
    <row r="30" spans="1:47" s="105" customFormat="1" ht="47.25" outlineLevel="3">
      <c r="A30" s="101" t="str">
        <f>IF(AND(C30="",C30=""),"",$D$3&amp;"_"&amp;ROW()-12-COUNTBLANK($C$13:C30))</f>
        <v>YC_02_13</v>
      </c>
      <c r="B30" s="130" t="s">
        <v>95</v>
      </c>
      <c r="C30" s="130" t="s">
        <v>96</v>
      </c>
      <c r="D30" s="130" t="s">
        <v>97</v>
      </c>
      <c r="E30" s="109" t="s">
        <v>75</v>
      </c>
      <c r="F30" s="125"/>
      <c r="G30" s="125"/>
      <c r="H30" s="124"/>
      <c r="I30" s="124"/>
      <c r="J30" s="124"/>
      <c r="K30" s="124"/>
      <c r="L30" s="124"/>
      <c r="M30" s="124"/>
      <c r="N30" s="124"/>
      <c r="O30" s="124"/>
      <c r="P30" s="124"/>
      <c r="Q30" s="108" t="str">
        <f t="shared" si="3"/>
        <v>P</v>
      </c>
      <c r="R30" s="126"/>
      <c r="S30" s="127"/>
      <c r="T30" s="128"/>
      <c r="U30" s="128"/>
      <c r="V30" s="128"/>
      <c r="W30" s="129"/>
      <c r="X30" s="129"/>
      <c r="Y30" s="129"/>
      <c r="Z30" s="129"/>
      <c r="AA30" s="129"/>
      <c r="AB30" s="129"/>
      <c r="AC30" s="129"/>
      <c r="AD30" s="129"/>
      <c r="AE30" s="129"/>
      <c r="AF30" s="129"/>
      <c r="AG30" s="129"/>
      <c r="AH30" s="129"/>
      <c r="AI30" s="129"/>
      <c r="AJ30" s="129"/>
      <c r="AK30" s="129"/>
      <c r="AL30" s="129"/>
      <c r="AM30" s="129"/>
      <c r="AN30" s="129"/>
      <c r="AO30" s="129"/>
      <c r="AP30" s="129"/>
      <c r="AQ30" s="129"/>
      <c r="AR30" s="129"/>
      <c r="AS30" s="129"/>
      <c r="AT30" s="129"/>
      <c r="AU30" s="129"/>
    </row>
    <row r="31" spans="1:47" s="105" customFormat="1" ht="47.25" outlineLevel="3">
      <c r="A31" s="101" t="str">
        <f>IF(AND(C31="",C31=""),"",$D$3&amp;"_"&amp;ROW()-12-COUNTBLANK($C$13:C31))</f>
        <v>YC_02_14</v>
      </c>
      <c r="B31" s="130" t="s">
        <v>101</v>
      </c>
      <c r="C31" s="130" t="s">
        <v>102</v>
      </c>
      <c r="D31" s="130" t="s">
        <v>103</v>
      </c>
      <c r="E31" s="109" t="s">
        <v>75</v>
      </c>
      <c r="F31" s="125"/>
      <c r="G31" s="125"/>
      <c r="H31" s="124"/>
      <c r="I31" s="124"/>
      <c r="J31" s="124"/>
      <c r="K31" s="124"/>
      <c r="L31" s="124"/>
      <c r="M31" s="124"/>
      <c r="N31" s="124"/>
      <c r="O31" s="124"/>
      <c r="P31" s="124"/>
      <c r="Q31" s="108" t="str">
        <f t="shared" si="3"/>
        <v>P</v>
      </c>
      <c r="R31" s="126"/>
      <c r="S31" s="127"/>
      <c r="T31" s="128"/>
      <c r="U31" s="128"/>
      <c r="V31" s="128"/>
      <c r="W31" s="129"/>
      <c r="X31" s="129"/>
      <c r="Y31" s="129"/>
      <c r="Z31" s="129"/>
      <c r="AA31" s="129"/>
      <c r="AB31" s="129"/>
      <c r="AC31" s="129"/>
      <c r="AD31" s="129"/>
      <c r="AE31" s="129"/>
      <c r="AF31" s="129"/>
      <c r="AG31" s="129"/>
      <c r="AH31" s="129"/>
      <c r="AI31" s="129"/>
      <c r="AJ31" s="129"/>
      <c r="AK31" s="129"/>
      <c r="AL31" s="129"/>
      <c r="AM31" s="129"/>
      <c r="AN31" s="129"/>
      <c r="AO31" s="129"/>
      <c r="AP31" s="129"/>
      <c r="AQ31" s="129"/>
      <c r="AR31" s="129"/>
      <c r="AS31" s="129"/>
      <c r="AT31" s="129"/>
      <c r="AU31" s="129"/>
    </row>
    <row r="32" spans="1:47" s="105" customFormat="1" ht="63" outlineLevel="3">
      <c r="A32" s="101" t="str">
        <f>IF(AND(C32="",C32=""),"",$D$3&amp;"_"&amp;ROW()-12-COUNTBLANK($C$13:C32))</f>
        <v>YC_02_15</v>
      </c>
      <c r="B32" s="130" t="s">
        <v>111</v>
      </c>
      <c r="C32" s="130" t="s">
        <v>113</v>
      </c>
      <c r="D32" s="130" t="s">
        <v>116</v>
      </c>
      <c r="E32" s="109" t="s">
        <v>75</v>
      </c>
      <c r="F32" s="125"/>
      <c r="G32" s="125"/>
      <c r="H32" s="124"/>
      <c r="I32" s="124"/>
      <c r="J32" s="124"/>
      <c r="K32" s="124"/>
      <c r="L32" s="124"/>
      <c r="M32" s="124"/>
      <c r="N32" s="124"/>
      <c r="O32" s="124"/>
      <c r="P32" s="124"/>
      <c r="Q32" s="108" t="str">
        <f t="shared" si="3"/>
        <v>P</v>
      </c>
      <c r="R32" s="126"/>
      <c r="S32" s="127"/>
      <c r="T32" s="128"/>
      <c r="U32" s="128"/>
      <c r="V32" s="128"/>
      <c r="W32" s="129"/>
      <c r="X32" s="129"/>
      <c r="Y32" s="129"/>
      <c r="Z32" s="129"/>
      <c r="AA32" s="129"/>
      <c r="AB32" s="129"/>
      <c r="AC32" s="129"/>
      <c r="AD32" s="129"/>
      <c r="AE32" s="129"/>
      <c r="AF32" s="129"/>
      <c r="AG32" s="129"/>
      <c r="AH32" s="129"/>
      <c r="AI32" s="129"/>
      <c r="AJ32" s="129"/>
      <c r="AK32" s="129"/>
      <c r="AL32" s="129"/>
      <c r="AM32" s="129"/>
      <c r="AN32" s="129"/>
      <c r="AO32" s="129"/>
      <c r="AP32" s="129"/>
      <c r="AQ32" s="129"/>
      <c r="AR32" s="129"/>
      <c r="AS32" s="129"/>
      <c r="AT32" s="129"/>
      <c r="AU32" s="129"/>
    </row>
    <row r="33" spans="1:47" s="105" customFormat="1" ht="63" outlineLevel="3">
      <c r="A33" s="101" t="str">
        <f>IF(AND(C33="",C33=""),"",$D$3&amp;"_"&amp;ROW()-12-COUNTBLANK($C$13:C33))</f>
        <v>YC_02_16</v>
      </c>
      <c r="B33" s="130" t="s">
        <v>112</v>
      </c>
      <c r="C33" s="130" t="s">
        <v>114</v>
      </c>
      <c r="D33" s="130" t="s">
        <v>115</v>
      </c>
      <c r="E33" s="109" t="s">
        <v>75</v>
      </c>
      <c r="F33" s="125"/>
      <c r="G33" s="125"/>
      <c r="H33" s="124"/>
      <c r="I33" s="124"/>
      <c r="J33" s="124"/>
      <c r="K33" s="124"/>
      <c r="L33" s="124"/>
      <c r="M33" s="124"/>
      <c r="N33" s="124"/>
      <c r="O33" s="124"/>
      <c r="P33" s="124"/>
      <c r="Q33" s="108" t="str">
        <f t="shared" si="3"/>
        <v>P</v>
      </c>
      <c r="R33" s="126"/>
      <c r="S33" s="127"/>
      <c r="T33" s="128"/>
      <c r="U33" s="128"/>
      <c r="V33" s="128"/>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row>
    <row r="34" spans="1:47" s="122" customFormat="1" outlineLevel="1">
      <c r="A34" s="101" t="str">
        <f>IF(AND(C34="",C34=""),"",$D$3&amp;"_"&amp;ROW()-12-COUNTBLANK($C$13:C34))</f>
        <v/>
      </c>
      <c r="B34" s="179" t="s">
        <v>24</v>
      </c>
      <c r="C34" s="180"/>
      <c r="D34" s="180"/>
      <c r="E34" s="180"/>
      <c r="F34" s="180"/>
      <c r="G34" s="180"/>
      <c r="H34" s="180"/>
      <c r="I34" s="180"/>
      <c r="J34" s="180"/>
      <c r="K34" s="180"/>
      <c r="L34" s="180"/>
      <c r="M34" s="180"/>
      <c r="N34" s="180"/>
      <c r="O34" s="180"/>
      <c r="P34" s="180"/>
      <c r="Q34" s="181"/>
      <c r="R34" s="118"/>
      <c r="S34" s="119"/>
      <c r="T34" s="120"/>
      <c r="U34" s="123"/>
      <c r="V34" s="123"/>
    </row>
    <row r="35" spans="1:47" s="92" customFormat="1" outlineLevel="2">
      <c r="A35" s="101" t="str">
        <f>IF(AND(C35="",C35=""),"",$D$3&amp;"_"&amp;ROW()-12-COUNTBLANK($C$13:C35))</f>
        <v/>
      </c>
      <c r="B35" s="173" t="s">
        <v>22</v>
      </c>
      <c r="C35" s="174"/>
      <c r="D35" s="174"/>
      <c r="E35" s="174"/>
      <c r="F35" s="174"/>
      <c r="G35" s="174"/>
      <c r="H35" s="174"/>
      <c r="I35" s="174"/>
      <c r="J35" s="174"/>
      <c r="K35" s="174"/>
      <c r="L35" s="174"/>
      <c r="M35" s="174"/>
      <c r="N35" s="174"/>
      <c r="O35" s="174"/>
      <c r="P35" s="174"/>
      <c r="Q35" s="175"/>
      <c r="R35" s="110"/>
      <c r="S35" s="111"/>
      <c r="T35" s="19"/>
      <c r="U35" s="19"/>
      <c r="V35" s="19"/>
      <c r="W35" s="104"/>
      <c r="X35" s="104"/>
      <c r="Y35" s="104"/>
      <c r="Z35" s="104"/>
      <c r="AA35" s="104"/>
      <c r="AB35" s="104"/>
      <c r="AC35" s="104"/>
      <c r="AD35" s="104"/>
      <c r="AE35" s="104"/>
      <c r="AF35" s="104"/>
      <c r="AG35" s="104"/>
      <c r="AH35" s="104"/>
      <c r="AI35" s="104"/>
      <c r="AJ35" s="104"/>
      <c r="AK35" s="104"/>
      <c r="AL35" s="104"/>
      <c r="AM35" s="104"/>
      <c r="AN35" s="104"/>
      <c r="AO35" s="104"/>
      <c r="AP35" s="104"/>
      <c r="AQ35" s="104"/>
      <c r="AR35" s="104"/>
      <c r="AS35" s="104"/>
      <c r="AT35" s="104"/>
      <c r="AU35" s="104"/>
    </row>
    <row r="36" spans="1:47" s="122" customFormat="1" outlineLevel="1">
      <c r="A36" s="101" t="str">
        <f>IF(AND(C36="",C36=""),"",$D$3&amp;"_"&amp;ROW()-12-COUNTBLANK($C$13:C36))</f>
        <v/>
      </c>
      <c r="B36" s="176" t="s">
        <v>25</v>
      </c>
      <c r="C36" s="177"/>
      <c r="D36" s="177"/>
      <c r="E36" s="177"/>
      <c r="F36" s="177"/>
      <c r="G36" s="177"/>
      <c r="H36" s="177"/>
      <c r="I36" s="177"/>
      <c r="J36" s="177"/>
      <c r="K36" s="177"/>
      <c r="L36" s="177"/>
      <c r="M36" s="177"/>
      <c r="N36" s="177"/>
      <c r="O36" s="177"/>
      <c r="P36" s="177"/>
      <c r="Q36" s="178"/>
      <c r="R36" s="118"/>
      <c r="S36" s="119"/>
      <c r="T36" s="120"/>
      <c r="U36" s="123"/>
      <c r="V36" s="123"/>
    </row>
    <row r="37" spans="1:47" s="92" customFormat="1" outlineLevel="2">
      <c r="A37" s="101" t="str">
        <f>IF(AND(C37="",C37=""),"",$D$3&amp;"_"&amp;ROW()-12-COUNTBLANK($C$13:C37))</f>
        <v/>
      </c>
      <c r="B37" s="173" t="s">
        <v>22</v>
      </c>
      <c r="C37" s="174"/>
      <c r="D37" s="174"/>
      <c r="E37" s="174"/>
      <c r="F37" s="174"/>
      <c r="G37" s="174"/>
      <c r="H37" s="174"/>
      <c r="I37" s="174"/>
      <c r="J37" s="174"/>
      <c r="K37" s="174"/>
      <c r="L37" s="174"/>
      <c r="M37" s="174"/>
      <c r="N37" s="174"/>
      <c r="O37" s="174"/>
      <c r="P37" s="174"/>
      <c r="Q37" s="175"/>
      <c r="R37" s="110"/>
      <c r="S37" s="111"/>
      <c r="T37" s="19"/>
      <c r="U37" s="19"/>
      <c r="V37" s="19"/>
      <c r="W37" s="104"/>
      <c r="X37" s="104"/>
      <c r="Y37" s="104"/>
      <c r="Z37" s="104"/>
      <c r="AA37" s="104"/>
      <c r="AB37" s="104"/>
      <c r="AC37" s="104"/>
      <c r="AD37" s="104"/>
      <c r="AE37" s="104"/>
      <c r="AF37" s="104"/>
      <c r="AG37" s="104"/>
      <c r="AH37" s="104"/>
      <c r="AI37" s="104"/>
      <c r="AJ37" s="104"/>
      <c r="AK37" s="104"/>
      <c r="AL37" s="104"/>
      <c r="AM37" s="104"/>
      <c r="AN37" s="104"/>
      <c r="AO37" s="104"/>
      <c r="AP37" s="104"/>
      <c r="AQ37" s="104"/>
      <c r="AR37" s="104"/>
      <c r="AS37" s="104"/>
      <c r="AT37" s="104"/>
      <c r="AU37" s="104"/>
    </row>
    <row r="38" spans="1:47" s="96" customFormat="1">
      <c r="B38" s="92"/>
      <c r="C38" s="92"/>
      <c r="D38" s="92"/>
      <c r="I38" s="21"/>
      <c r="J38" s="21"/>
      <c r="R38" s="92"/>
      <c r="S38" s="92"/>
      <c r="T38" s="92"/>
      <c r="U38" s="92"/>
      <c r="V38" s="92"/>
      <c r="W38" s="92"/>
      <c r="X38" s="92"/>
      <c r="Y38" s="92"/>
      <c r="Z38" s="92"/>
      <c r="AA38" s="92"/>
      <c r="AB38" s="92"/>
      <c r="AC38" s="92"/>
      <c r="AD38" s="92"/>
      <c r="AE38" s="92"/>
      <c r="AF38" s="92"/>
      <c r="AG38" s="92"/>
      <c r="AH38" s="92"/>
      <c r="AI38" s="92"/>
      <c r="AJ38" s="92"/>
      <c r="AK38" s="92"/>
      <c r="AL38" s="92"/>
      <c r="AM38" s="92"/>
      <c r="AN38" s="92"/>
      <c r="AO38" s="92"/>
      <c r="AP38" s="92"/>
      <c r="AQ38" s="92"/>
      <c r="AR38" s="92"/>
      <c r="AS38" s="92"/>
      <c r="AT38" s="92"/>
      <c r="AU38" s="92"/>
    </row>
    <row r="39" spans="1:47" s="8" customFormat="1">
      <c r="A39" s="96"/>
      <c r="B39" s="3"/>
      <c r="C39" s="3"/>
      <c r="D39" s="3"/>
      <c r="I39" s="21"/>
      <c r="J39" s="21"/>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row>
    <row r="47" spans="1:47" s="8" customFormat="1">
      <c r="A47" s="96"/>
      <c r="B47" s="3"/>
      <c r="C47" s="3"/>
      <c r="D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row>
    <row r="48" spans="1:47" s="8" customFormat="1">
      <c r="A48" s="96"/>
      <c r="B48" s="3"/>
      <c r="C48" s="22"/>
      <c r="D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row>
    <row r="55" spans="1:47" s="8" customFormat="1">
      <c r="A55" s="96"/>
      <c r="B55" s="3"/>
      <c r="C55" s="3"/>
      <c r="D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row>
    <row r="56" spans="1:47" s="8" customFormat="1">
      <c r="A56" s="96"/>
      <c r="B56" s="23"/>
      <c r="C56" s="16"/>
      <c r="D56" s="16"/>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row>
    <row r="57" spans="1:47" s="8" customFormat="1">
      <c r="A57" s="96"/>
      <c r="B57" s="23"/>
      <c r="C57" s="16"/>
      <c r="D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row>
    <row r="58" spans="1:47">
      <c r="B58" s="23"/>
    </row>
  </sheetData>
  <mergeCells count="21">
    <mergeCell ref="R10:R11"/>
    <mergeCell ref="S10:S11"/>
    <mergeCell ref="C1:D1"/>
    <mergeCell ref="A10:A11"/>
    <mergeCell ref="B10:B11"/>
    <mergeCell ref="C10:C11"/>
    <mergeCell ref="D10:D11"/>
    <mergeCell ref="E10:G10"/>
    <mergeCell ref="B12:G12"/>
    <mergeCell ref="B35:Q35"/>
    <mergeCell ref="B16:Q16"/>
    <mergeCell ref="B13:D13"/>
    <mergeCell ref="H10:J10"/>
    <mergeCell ref="K10:M10"/>
    <mergeCell ref="N10:P10"/>
    <mergeCell ref="Q10:Q11"/>
    <mergeCell ref="B37:Q37"/>
    <mergeCell ref="B36:Q36"/>
    <mergeCell ref="B34:Q34"/>
    <mergeCell ref="B17:Q17"/>
    <mergeCell ref="B27:Q27"/>
  </mergeCells>
  <conditionalFormatting sqref="F19:P26 C15:D15 F15:P15 C19:D21 C23:D23 D25">
    <cfRule type="cellIs" dxfId="142" priority="97" operator="equal">
      <formula>"P"</formula>
    </cfRule>
    <cfRule type="cellIs" dxfId="141" priority="98" stopIfTrue="1" operator="equal">
      <formula>"F"</formula>
    </cfRule>
    <cfRule type="cellIs" dxfId="140" priority="99" stopIfTrue="1" operator="equal">
      <formula>"PE"</formula>
    </cfRule>
  </conditionalFormatting>
  <conditionalFormatting sqref="C14:D14">
    <cfRule type="cellIs" dxfId="139" priority="148" operator="equal">
      <formula>"P"</formula>
    </cfRule>
    <cfRule type="cellIs" dxfId="138" priority="149" stopIfTrue="1" operator="equal">
      <formula>"F"</formula>
    </cfRule>
    <cfRule type="cellIs" dxfId="137" priority="150" stopIfTrue="1" operator="equal">
      <formula>"PE"</formula>
    </cfRule>
  </conditionalFormatting>
  <conditionalFormatting sqref="E19:E26 E15">
    <cfRule type="cellIs" priority="94" stopIfTrue="1" operator="equal">
      <formula>"P"</formula>
    </cfRule>
    <cfRule type="cellIs" dxfId="136" priority="95" stopIfTrue="1" operator="equal">
      <formula>"F"</formula>
    </cfRule>
    <cfRule type="cellIs" dxfId="135" priority="96" stopIfTrue="1" operator="equal">
      <formula>"PE"</formula>
    </cfRule>
  </conditionalFormatting>
  <conditionalFormatting sqref="E1:Q11 H12:Q12">
    <cfRule type="cellIs" dxfId="134" priority="152" stopIfTrue="1" operator="equal">
      <formula>"P"</formula>
    </cfRule>
    <cfRule type="cellIs" dxfId="133" priority="153" stopIfTrue="1" operator="equal">
      <formula>"F"</formula>
    </cfRule>
    <cfRule type="cellIs" dxfId="132" priority="154" stopIfTrue="1" operator="equal">
      <formula>"PE"</formula>
    </cfRule>
  </conditionalFormatting>
  <conditionalFormatting sqref="D26">
    <cfRule type="cellIs" dxfId="131" priority="52" operator="equal">
      <formula>"P"</formula>
    </cfRule>
    <cfRule type="cellIs" dxfId="130" priority="53" stopIfTrue="1" operator="equal">
      <formula>"F"</formula>
    </cfRule>
    <cfRule type="cellIs" dxfId="129" priority="54" stopIfTrue="1" operator="equal">
      <formula>"PE"</formula>
    </cfRule>
  </conditionalFormatting>
  <conditionalFormatting sqref="D18 F18:P18">
    <cfRule type="cellIs" dxfId="128" priority="70" operator="equal">
      <formula>"P"</formula>
    </cfRule>
    <cfRule type="cellIs" dxfId="127" priority="71" stopIfTrue="1" operator="equal">
      <formula>"F"</formula>
    </cfRule>
    <cfRule type="cellIs" dxfId="126" priority="72" stopIfTrue="1" operator="equal">
      <formula>"PE"</formula>
    </cfRule>
  </conditionalFormatting>
  <conditionalFormatting sqref="E18">
    <cfRule type="cellIs" priority="67" stopIfTrue="1" operator="equal">
      <formula>"P"</formula>
    </cfRule>
    <cfRule type="cellIs" dxfId="125" priority="68" stopIfTrue="1" operator="equal">
      <formula>"F"</formula>
    </cfRule>
    <cfRule type="cellIs" dxfId="124" priority="69" stopIfTrue="1" operator="equal">
      <formula>"PE"</formula>
    </cfRule>
  </conditionalFormatting>
  <conditionalFormatting sqref="C18">
    <cfRule type="cellIs" dxfId="123" priority="64" operator="equal">
      <formula>"P"</formula>
    </cfRule>
    <cfRule type="cellIs" dxfId="122" priority="65" stopIfTrue="1" operator="equal">
      <formula>"F"</formula>
    </cfRule>
    <cfRule type="cellIs" dxfId="121" priority="66" stopIfTrue="1" operator="equal">
      <formula>"PE"</formula>
    </cfRule>
  </conditionalFormatting>
  <conditionalFormatting sqref="C22:D22">
    <cfRule type="cellIs" dxfId="120" priority="61" operator="equal">
      <formula>"P"</formula>
    </cfRule>
    <cfRule type="cellIs" dxfId="119" priority="62" stopIfTrue="1" operator="equal">
      <formula>"F"</formula>
    </cfRule>
    <cfRule type="cellIs" dxfId="118" priority="63" stopIfTrue="1" operator="equal">
      <formula>"PE"</formula>
    </cfRule>
  </conditionalFormatting>
  <conditionalFormatting sqref="C24:D24">
    <cfRule type="cellIs" dxfId="117" priority="58" operator="equal">
      <formula>"P"</formula>
    </cfRule>
    <cfRule type="cellIs" dxfId="116" priority="59" stopIfTrue="1" operator="equal">
      <formula>"F"</formula>
    </cfRule>
    <cfRule type="cellIs" dxfId="115" priority="60" stopIfTrue="1" operator="equal">
      <formula>"PE"</formula>
    </cfRule>
  </conditionalFormatting>
  <conditionalFormatting sqref="C25">
    <cfRule type="cellIs" dxfId="114" priority="55" operator="equal">
      <formula>"P"</formula>
    </cfRule>
    <cfRule type="cellIs" dxfId="113" priority="56" stopIfTrue="1" operator="equal">
      <formula>"F"</formula>
    </cfRule>
    <cfRule type="cellIs" dxfId="112" priority="57" stopIfTrue="1" operator="equal">
      <formula>"PE"</formula>
    </cfRule>
  </conditionalFormatting>
  <conditionalFormatting sqref="D33">
    <cfRule type="cellIs" dxfId="111" priority="4" operator="equal">
      <formula>"P"</formula>
    </cfRule>
    <cfRule type="cellIs" dxfId="110" priority="5" stopIfTrue="1" operator="equal">
      <formula>"F"</formula>
    </cfRule>
    <cfRule type="cellIs" dxfId="109" priority="6" stopIfTrue="1" operator="equal">
      <formula>"PE"</formula>
    </cfRule>
  </conditionalFormatting>
  <conditionalFormatting sqref="C26">
    <cfRule type="cellIs" dxfId="108" priority="49" operator="equal">
      <formula>"P"</formula>
    </cfRule>
    <cfRule type="cellIs" dxfId="107" priority="50" stopIfTrue="1" operator="equal">
      <formula>"F"</formula>
    </cfRule>
    <cfRule type="cellIs" dxfId="106" priority="51" stopIfTrue="1" operator="equal">
      <formula>"PE"</formula>
    </cfRule>
  </conditionalFormatting>
  <conditionalFormatting sqref="D28 F28:P28">
    <cfRule type="cellIs" dxfId="105" priority="46" operator="equal">
      <formula>"P"</formula>
    </cfRule>
    <cfRule type="cellIs" dxfId="104" priority="47" stopIfTrue="1" operator="equal">
      <formula>"F"</formula>
    </cfRule>
    <cfRule type="cellIs" dxfId="103" priority="48" stopIfTrue="1" operator="equal">
      <formula>"PE"</formula>
    </cfRule>
  </conditionalFormatting>
  <conditionalFormatting sqref="E28">
    <cfRule type="cellIs" priority="43" stopIfTrue="1" operator="equal">
      <formula>"P"</formula>
    </cfRule>
    <cfRule type="cellIs" dxfId="102" priority="44" stopIfTrue="1" operator="equal">
      <formula>"F"</formula>
    </cfRule>
    <cfRule type="cellIs" dxfId="101" priority="45" stopIfTrue="1" operator="equal">
      <formula>"PE"</formula>
    </cfRule>
  </conditionalFormatting>
  <conditionalFormatting sqref="C28">
    <cfRule type="cellIs" dxfId="100" priority="40" operator="equal">
      <formula>"P"</formula>
    </cfRule>
    <cfRule type="cellIs" dxfId="99" priority="41" stopIfTrue="1" operator="equal">
      <formula>"F"</formula>
    </cfRule>
    <cfRule type="cellIs" dxfId="98" priority="42" stopIfTrue="1" operator="equal">
      <formula>"PE"</formula>
    </cfRule>
  </conditionalFormatting>
  <conditionalFormatting sqref="C33">
    <cfRule type="cellIs" dxfId="97" priority="1" operator="equal">
      <formula>"P"</formula>
    </cfRule>
    <cfRule type="cellIs" dxfId="96" priority="2" stopIfTrue="1" operator="equal">
      <formula>"F"</formula>
    </cfRule>
    <cfRule type="cellIs" dxfId="95" priority="3" stopIfTrue="1" operator="equal">
      <formula>"PE"</formula>
    </cfRule>
  </conditionalFormatting>
  <conditionalFormatting sqref="F29:P29 C29:D29">
    <cfRule type="cellIs" dxfId="94" priority="37" operator="equal">
      <formula>"P"</formula>
    </cfRule>
    <cfRule type="cellIs" dxfId="93" priority="38" stopIfTrue="1" operator="equal">
      <formula>"F"</formula>
    </cfRule>
    <cfRule type="cellIs" dxfId="92" priority="39" stopIfTrue="1" operator="equal">
      <formula>"PE"</formula>
    </cfRule>
  </conditionalFormatting>
  <conditionalFormatting sqref="E29">
    <cfRule type="cellIs" priority="34" stopIfTrue="1" operator="equal">
      <formula>"P"</formula>
    </cfRule>
    <cfRule type="cellIs" dxfId="91" priority="35" stopIfTrue="1" operator="equal">
      <formula>"F"</formula>
    </cfRule>
    <cfRule type="cellIs" dxfId="90" priority="36" stopIfTrue="1" operator="equal">
      <formula>"PE"</formula>
    </cfRule>
  </conditionalFormatting>
  <conditionalFormatting sqref="F30:P30">
    <cfRule type="cellIs" dxfId="89" priority="31" operator="equal">
      <formula>"P"</formula>
    </cfRule>
    <cfRule type="cellIs" dxfId="88" priority="32" stopIfTrue="1" operator="equal">
      <formula>"F"</formula>
    </cfRule>
    <cfRule type="cellIs" dxfId="87" priority="33" stopIfTrue="1" operator="equal">
      <formula>"PE"</formula>
    </cfRule>
  </conditionalFormatting>
  <conditionalFormatting sqref="E30">
    <cfRule type="cellIs" priority="28" stopIfTrue="1" operator="equal">
      <formula>"P"</formula>
    </cfRule>
    <cfRule type="cellIs" dxfId="86" priority="29" stopIfTrue="1" operator="equal">
      <formula>"F"</formula>
    </cfRule>
    <cfRule type="cellIs" dxfId="85" priority="30" stopIfTrue="1" operator="equal">
      <formula>"PE"</formula>
    </cfRule>
  </conditionalFormatting>
  <conditionalFormatting sqref="C30:D30">
    <cfRule type="cellIs" dxfId="84" priority="25" operator="equal">
      <formula>"P"</formula>
    </cfRule>
    <cfRule type="cellIs" dxfId="83" priority="26" stopIfTrue="1" operator="equal">
      <formula>"F"</formula>
    </cfRule>
    <cfRule type="cellIs" dxfId="82" priority="27" stopIfTrue="1" operator="equal">
      <formula>"PE"</formula>
    </cfRule>
  </conditionalFormatting>
  <conditionalFormatting sqref="F31:P31">
    <cfRule type="cellIs" dxfId="81" priority="22" operator="equal">
      <formula>"P"</formula>
    </cfRule>
    <cfRule type="cellIs" dxfId="80" priority="23" stopIfTrue="1" operator="equal">
      <formula>"F"</formula>
    </cfRule>
    <cfRule type="cellIs" dxfId="79" priority="24" stopIfTrue="1" operator="equal">
      <formula>"PE"</formula>
    </cfRule>
  </conditionalFormatting>
  <conditionalFormatting sqref="E31">
    <cfRule type="cellIs" priority="19" stopIfTrue="1" operator="equal">
      <formula>"P"</formula>
    </cfRule>
    <cfRule type="cellIs" dxfId="78" priority="20" stopIfTrue="1" operator="equal">
      <formula>"F"</formula>
    </cfRule>
    <cfRule type="cellIs" dxfId="77" priority="21" stopIfTrue="1" operator="equal">
      <formula>"PE"</formula>
    </cfRule>
  </conditionalFormatting>
  <conditionalFormatting sqref="C31:D31">
    <cfRule type="cellIs" dxfId="76" priority="16" operator="equal">
      <formula>"P"</formula>
    </cfRule>
    <cfRule type="cellIs" dxfId="75" priority="17" stopIfTrue="1" operator="equal">
      <formula>"F"</formula>
    </cfRule>
    <cfRule type="cellIs" dxfId="74" priority="18" stopIfTrue="1" operator="equal">
      <formula>"PE"</formula>
    </cfRule>
  </conditionalFormatting>
  <conditionalFormatting sqref="F32:P33 D32">
    <cfRule type="cellIs" dxfId="73" priority="13" operator="equal">
      <formula>"P"</formula>
    </cfRule>
    <cfRule type="cellIs" dxfId="72" priority="14" stopIfTrue="1" operator="equal">
      <formula>"F"</formula>
    </cfRule>
    <cfRule type="cellIs" dxfId="71" priority="15" stopIfTrue="1" operator="equal">
      <formula>"PE"</formula>
    </cfRule>
  </conditionalFormatting>
  <conditionalFormatting sqref="E32:E33">
    <cfRule type="cellIs" priority="10" stopIfTrue="1" operator="equal">
      <formula>"P"</formula>
    </cfRule>
    <cfRule type="cellIs" dxfId="70" priority="11" stopIfTrue="1" operator="equal">
      <formula>"F"</formula>
    </cfRule>
    <cfRule type="cellIs" dxfId="69" priority="12" stopIfTrue="1" operator="equal">
      <formula>"PE"</formula>
    </cfRule>
  </conditionalFormatting>
  <conditionalFormatting sqref="C32">
    <cfRule type="cellIs" dxfId="68" priority="7" operator="equal">
      <formula>"P"</formula>
    </cfRule>
    <cfRule type="cellIs" dxfId="67" priority="8" stopIfTrue="1" operator="equal">
      <formula>"F"</formula>
    </cfRule>
    <cfRule type="cellIs" dxfId="66" priority="9" stopIfTrue="1" operator="equal">
      <formula>"PE"</formula>
    </cfRule>
  </conditionalFormatting>
  <dataValidations count="1">
    <dataValidation type="list" allowBlank="1" showInputMessage="1" showErrorMessage="1" sqref="E15 E18:E26 E28:E33">
      <formula1>"P,F,PE"</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U54"/>
  <sheetViews>
    <sheetView tabSelected="1" workbookViewId="0">
      <selection activeCell="I5" sqref="I5"/>
    </sheetView>
  </sheetViews>
  <sheetFormatPr defaultColWidth="11.25" defaultRowHeight="15.75" outlineLevelRow="3"/>
  <cols>
    <col min="1" max="1" width="15.25" style="96" customWidth="1"/>
    <col min="2" max="2" width="28.75" style="92" customWidth="1"/>
    <col min="3" max="3" width="58.75" style="92" customWidth="1"/>
    <col min="4" max="4" width="62.125" style="92" customWidth="1"/>
    <col min="5" max="6" width="5.25" style="96" customWidth="1"/>
    <col min="7" max="7" width="6.875" style="96" customWidth="1"/>
    <col min="8" max="10" width="5.25" style="96" customWidth="1"/>
    <col min="11" max="16" width="6" style="96" hidden="1" customWidth="1"/>
    <col min="17" max="17" width="8.5" style="96" customWidth="1"/>
    <col min="18" max="18" width="13.5" style="92" customWidth="1"/>
    <col min="19" max="19" width="19.75" style="92" customWidth="1"/>
    <col min="20" max="21" width="7.75" style="92" customWidth="1"/>
    <col min="22" max="16384" width="11.25" style="92"/>
  </cols>
  <sheetData>
    <row r="1" spans="1:47" ht="33" customHeight="1">
      <c r="A1" s="90"/>
      <c r="B1" s="91"/>
      <c r="C1" s="196" t="s">
        <v>0</v>
      </c>
      <c r="D1" s="197"/>
      <c r="E1" s="90"/>
      <c r="F1" s="90"/>
      <c r="G1" s="90"/>
      <c r="H1" s="90"/>
      <c r="I1" s="90"/>
      <c r="J1" s="90"/>
      <c r="K1" s="90"/>
      <c r="L1" s="90"/>
      <c r="M1" s="90"/>
      <c r="N1" s="90"/>
      <c r="O1" s="90"/>
      <c r="P1" s="90"/>
      <c r="Q1" s="90"/>
      <c r="R1" s="91"/>
      <c r="S1" s="91"/>
      <c r="T1" s="91"/>
      <c r="U1" s="91"/>
    </row>
    <row r="2" spans="1:47">
      <c r="A2" s="90"/>
      <c r="B2" s="91"/>
      <c r="C2" s="93" t="s">
        <v>1</v>
      </c>
      <c r="D2" s="94" t="s">
        <v>86</v>
      </c>
      <c r="E2" s="90"/>
      <c r="F2" s="90"/>
      <c r="G2" s="90"/>
      <c r="H2" s="90"/>
      <c r="I2" s="90"/>
      <c r="J2" s="90"/>
      <c r="K2" s="90"/>
      <c r="L2" s="90"/>
      <c r="M2" s="90"/>
      <c r="N2" s="90"/>
      <c r="O2" s="90"/>
      <c r="P2" s="90"/>
      <c r="Q2" s="90"/>
      <c r="R2" s="91"/>
      <c r="S2" s="91"/>
      <c r="T2" s="91"/>
      <c r="U2" s="91"/>
    </row>
    <row r="3" spans="1:47">
      <c r="A3" s="90"/>
      <c r="B3" s="91"/>
      <c r="C3" s="93" t="s">
        <v>2</v>
      </c>
      <c r="D3" s="94" t="s">
        <v>122</v>
      </c>
      <c r="E3" s="90"/>
      <c r="F3" s="90"/>
      <c r="G3" s="90"/>
      <c r="H3" s="90"/>
      <c r="I3" s="90"/>
      <c r="J3" s="90"/>
      <c r="K3" s="90"/>
      <c r="L3" s="90"/>
      <c r="M3" s="90"/>
      <c r="N3" s="90"/>
      <c r="O3" s="90"/>
      <c r="P3" s="90"/>
      <c r="Q3" s="90"/>
      <c r="R3" s="91"/>
      <c r="S3" s="91"/>
      <c r="T3" s="91"/>
      <c r="U3" s="91"/>
    </row>
    <row r="4" spans="1:47">
      <c r="A4" s="90"/>
      <c r="B4" s="91"/>
      <c r="C4" s="93" t="s">
        <v>3</v>
      </c>
      <c r="D4" s="95">
        <f>COUNTIF($E$13:$E$35,"P")</f>
        <v>12</v>
      </c>
      <c r="E4" s="90"/>
      <c r="F4" s="90"/>
      <c r="G4" s="90"/>
      <c r="H4" s="90"/>
      <c r="I4" s="90"/>
      <c r="J4" s="90"/>
      <c r="K4" s="90"/>
      <c r="L4" s="90"/>
      <c r="M4" s="90"/>
      <c r="N4" s="90"/>
      <c r="O4" s="90"/>
      <c r="P4" s="90"/>
      <c r="Q4" s="90"/>
      <c r="R4" s="91"/>
      <c r="S4" s="91"/>
      <c r="T4" s="91"/>
      <c r="U4" s="91"/>
    </row>
    <row r="5" spans="1:47">
      <c r="A5" s="90"/>
      <c r="B5" s="91"/>
      <c r="C5" s="93" t="s">
        <v>4</v>
      </c>
      <c r="D5" s="95">
        <f>COUNTIF($E$13:$E$35,"F")</f>
        <v>0</v>
      </c>
      <c r="E5" s="90"/>
      <c r="F5" s="90"/>
      <c r="G5" s="90"/>
      <c r="H5" s="90"/>
      <c r="I5" s="90"/>
      <c r="J5" s="90"/>
      <c r="K5" s="90"/>
      <c r="L5" s="90"/>
      <c r="M5" s="90"/>
      <c r="N5" s="90"/>
      <c r="O5" s="90"/>
      <c r="P5" s="90"/>
      <c r="Q5" s="90"/>
      <c r="R5" s="91"/>
      <c r="S5" s="91"/>
      <c r="T5" s="91"/>
      <c r="U5" s="91"/>
    </row>
    <row r="6" spans="1:47">
      <c r="A6" s="90"/>
      <c r="B6" s="91"/>
      <c r="C6" s="93" t="s">
        <v>5</v>
      </c>
      <c r="D6" s="95">
        <f>COUNTIF($Q$13:$Q$13,"PE")</f>
        <v>0</v>
      </c>
      <c r="E6" s="90"/>
      <c r="F6" s="90"/>
      <c r="G6" s="90"/>
      <c r="H6" s="90"/>
      <c r="I6" s="90"/>
      <c r="J6" s="90"/>
      <c r="K6" s="90"/>
      <c r="L6" s="90"/>
      <c r="M6" s="90"/>
      <c r="N6" s="90"/>
      <c r="O6" s="90"/>
      <c r="P6" s="90"/>
      <c r="Q6" s="90"/>
      <c r="R6" s="91"/>
      <c r="S6" s="91"/>
      <c r="T6" s="91"/>
      <c r="U6" s="91"/>
    </row>
    <row r="7" spans="1:47">
      <c r="A7" s="90"/>
      <c r="B7" s="91"/>
      <c r="C7" s="93" t="s">
        <v>6</v>
      </c>
      <c r="D7" s="95">
        <f>D8-D4-D5-D6</f>
        <v>0</v>
      </c>
      <c r="E7" s="90"/>
      <c r="F7" s="90"/>
      <c r="G7" s="90"/>
      <c r="H7" s="90"/>
      <c r="I7" s="90"/>
      <c r="J7" s="90"/>
      <c r="K7" s="90"/>
      <c r="L7" s="90"/>
      <c r="M7" s="90"/>
      <c r="N7" s="90"/>
      <c r="O7" s="90"/>
      <c r="P7" s="90"/>
      <c r="Q7" s="90"/>
      <c r="R7" s="91"/>
      <c r="S7" s="91"/>
      <c r="T7" s="91"/>
      <c r="U7" s="91"/>
    </row>
    <row r="8" spans="1:47">
      <c r="A8" s="90"/>
      <c r="B8" s="91"/>
      <c r="C8" s="93" t="s">
        <v>7</v>
      </c>
      <c r="D8" s="95">
        <f>COUNTA($Q$13:$Q$695)</f>
        <v>12</v>
      </c>
      <c r="E8" s="90"/>
      <c r="F8" s="90"/>
      <c r="G8" s="90"/>
      <c r="H8" s="90"/>
      <c r="I8" s="90"/>
      <c r="J8" s="90"/>
      <c r="K8" s="90"/>
      <c r="L8" s="90"/>
      <c r="M8" s="90"/>
      <c r="N8" s="90"/>
      <c r="O8" s="90"/>
      <c r="P8" s="90"/>
      <c r="Q8" s="90"/>
      <c r="R8" s="91"/>
      <c r="S8" s="91"/>
      <c r="T8" s="91"/>
      <c r="U8" s="91"/>
    </row>
    <row r="9" spans="1:47">
      <c r="A9" s="90"/>
      <c r="B9" s="91"/>
      <c r="C9" s="91"/>
      <c r="D9" s="91"/>
      <c r="E9" s="90"/>
      <c r="F9" s="90"/>
      <c r="G9" s="90"/>
      <c r="H9" s="90"/>
      <c r="I9" s="90"/>
      <c r="J9" s="90"/>
      <c r="K9" s="90"/>
      <c r="L9" s="90"/>
      <c r="M9" s="90"/>
      <c r="N9" s="90"/>
      <c r="O9" s="90"/>
      <c r="P9" s="90"/>
      <c r="Q9" s="90"/>
      <c r="R9" s="91"/>
      <c r="S9" s="91"/>
      <c r="T9" s="91"/>
      <c r="U9" s="91"/>
    </row>
    <row r="10" spans="1:47">
      <c r="A10" s="193" t="s">
        <v>2</v>
      </c>
      <c r="B10" s="193" t="s">
        <v>8</v>
      </c>
      <c r="C10" s="193" t="s">
        <v>9</v>
      </c>
      <c r="D10" s="193" t="s">
        <v>10</v>
      </c>
      <c r="E10" s="190" t="s">
        <v>118</v>
      </c>
      <c r="F10" s="191"/>
      <c r="G10" s="192"/>
      <c r="H10" s="190" t="s">
        <v>119</v>
      </c>
      <c r="I10" s="191"/>
      <c r="J10" s="192"/>
      <c r="K10" s="190" t="s">
        <v>13</v>
      </c>
      <c r="L10" s="191"/>
      <c r="M10" s="192"/>
      <c r="N10" s="190" t="s">
        <v>14</v>
      </c>
      <c r="O10" s="191"/>
      <c r="P10" s="192"/>
      <c r="Q10" s="193" t="s">
        <v>15</v>
      </c>
      <c r="R10" s="193" t="s">
        <v>16</v>
      </c>
      <c r="S10" s="193" t="s">
        <v>17</v>
      </c>
      <c r="T10" s="90"/>
      <c r="U10" s="90"/>
      <c r="V10" s="90"/>
      <c r="W10" s="96"/>
      <c r="X10" s="96"/>
      <c r="Y10" s="96"/>
      <c r="Z10" s="96"/>
      <c r="AA10" s="96"/>
      <c r="AB10" s="96"/>
      <c r="AC10" s="96"/>
      <c r="AD10" s="96"/>
      <c r="AE10" s="96"/>
      <c r="AF10" s="96"/>
      <c r="AG10" s="96"/>
      <c r="AH10" s="96"/>
      <c r="AI10" s="96"/>
      <c r="AJ10" s="96"/>
      <c r="AK10" s="96"/>
      <c r="AL10" s="96"/>
      <c r="AM10" s="96"/>
      <c r="AN10" s="96"/>
      <c r="AO10" s="96"/>
      <c r="AP10" s="96"/>
      <c r="AQ10" s="96"/>
      <c r="AR10" s="96"/>
      <c r="AS10" s="96"/>
      <c r="AT10" s="96"/>
      <c r="AU10" s="96"/>
    </row>
    <row r="11" spans="1:47" ht="31.5">
      <c r="A11" s="198"/>
      <c r="B11" s="199"/>
      <c r="C11" s="199"/>
      <c r="D11" s="199"/>
      <c r="E11" s="116" t="s">
        <v>18</v>
      </c>
      <c r="F11" s="116" t="s">
        <v>19</v>
      </c>
      <c r="G11" s="116" t="s">
        <v>20</v>
      </c>
      <c r="H11" s="116" t="s">
        <v>18</v>
      </c>
      <c r="I11" s="116" t="s">
        <v>19</v>
      </c>
      <c r="J11" s="116" t="s">
        <v>20</v>
      </c>
      <c r="K11" s="116" t="s">
        <v>18</v>
      </c>
      <c r="L11" s="116" t="s">
        <v>19</v>
      </c>
      <c r="M11" s="116" t="s">
        <v>20</v>
      </c>
      <c r="N11" s="116" t="s">
        <v>18</v>
      </c>
      <c r="O11" s="116" t="s">
        <v>19</v>
      </c>
      <c r="P11" s="116" t="s">
        <v>20</v>
      </c>
      <c r="Q11" s="198"/>
      <c r="R11" s="199"/>
      <c r="S11" s="195"/>
      <c r="T11" s="90"/>
      <c r="U11" s="90"/>
      <c r="V11" s="90"/>
      <c r="W11" s="96"/>
      <c r="X11" s="96"/>
      <c r="Y11" s="96"/>
      <c r="Z11" s="96"/>
      <c r="AA11" s="96"/>
      <c r="AB11" s="96"/>
      <c r="AC11" s="96"/>
      <c r="AD11" s="96"/>
      <c r="AE11" s="96"/>
      <c r="AF11" s="96"/>
      <c r="AG11" s="96"/>
      <c r="AH11" s="96"/>
      <c r="AI11" s="96"/>
      <c r="AJ11" s="96"/>
      <c r="AK11" s="96"/>
      <c r="AL11" s="96"/>
      <c r="AM11" s="96"/>
      <c r="AN11" s="96"/>
      <c r="AO11" s="96"/>
      <c r="AP11" s="96"/>
      <c r="AQ11" s="96"/>
      <c r="AR11" s="96"/>
      <c r="AS11" s="96"/>
      <c r="AT11" s="96"/>
      <c r="AU11" s="96"/>
    </row>
    <row r="12" spans="1:47" ht="15.75" customHeight="1">
      <c r="A12" s="101"/>
      <c r="B12" s="200" t="s">
        <v>120</v>
      </c>
      <c r="C12" s="200"/>
      <c r="D12" s="138"/>
      <c r="E12" s="138"/>
      <c r="F12" s="138"/>
      <c r="G12" s="138"/>
      <c r="H12" s="138"/>
      <c r="I12" s="138"/>
      <c r="J12" s="138"/>
      <c r="K12" s="139"/>
      <c r="L12" s="139"/>
      <c r="M12" s="139"/>
      <c r="N12" s="139"/>
      <c r="O12" s="139"/>
      <c r="P12" s="139"/>
      <c r="Q12" s="140"/>
      <c r="R12" s="141"/>
      <c r="S12" s="133"/>
      <c r="T12" s="90"/>
      <c r="U12" s="90"/>
      <c r="V12" s="90"/>
      <c r="W12" s="96"/>
      <c r="X12" s="96"/>
      <c r="Y12" s="96"/>
      <c r="Z12" s="96"/>
      <c r="AA12" s="96"/>
      <c r="AB12" s="96"/>
      <c r="AC12" s="96"/>
      <c r="AD12" s="96"/>
      <c r="AE12" s="96"/>
      <c r="AF12" s="96"/>
      <c r="AG12" s="96"/>
      <c r="AH12" s="96"/>
      <c r="AI12" s="96"/>
      <c r="AJ12" s="96"/>
      <c r="AK12" s="96"/>
      <c r="AL12" s="96"/>
      <c r="AM12" s="96"/>
      <c r="AN12" s="96"/>
      <c r="AO12" s="96"/>
      <c r="AP12" s="96"/>
      <c r="AQ12" s="96"/>
      <c r="AR12" s="96"/>
      <c r="AS12" s="96"/>
      <c r="AT12" s="96"/>
      <c r="AU12" s="96"/>
    </row>
    <row r="13" spans="1:47" ht="162.75" customHeight="1">
      <c r="A13" s="97"/>
      <c r="B13" s="188" t="s">
        <v>121</v>
      </c>
      <c r="C13" s="189"/>
      <c r="D13" s="189"/>
      <c r="E13" s="98"/>
      <c r="F13" s="98"/>
      <c r="G13" s="98"/>
      <c r="H13" s="98"/>
      <c r="I13" s="98"/>
      <c r="J13" s="98"/>
      <c r="K13" s="98"/>
      <c r="L13" s="98"/>
      <c r="M13" s="98"/>
      <c r="N13" s="98"/>
      <c r="O13" s="98"/>
      <c r="P13" s="98"/>
      <c r="Q13" s="98"/>
      <c r="R13" s="137"/>
      <c r="S13" s="99"/>
      <c r="T13" s="100"/>
      <c r="U13" s="100"/>
      <c r="V13" s="100"/>
    </row>
    <row r="14" spans="1:47" ht="16.149999999999999" customHeight="1" outlineLevel="1">
      <c r="A14" s="101" t="str">
        <f>IF(AND(C14="",C14=""),"",$D$3&amp;"_"&amp;ROW()-12-COUNTBLANK($C$14:C14))</f>
        <v/>
      </c>
      <c r="B14" s="176" t="s">
        <v>21</v>
      </c>
      <c r="C14" s="177"/>
      <c r="D14" s="177"/>
      <c r="E14" s="177"/>
      <c r="F14" s="177"/>
      <c r="G14" s="177"/>
      <c r="H14" s="177"/>
      <c r="I14" s="177"/>
      <c r="J14" s="177"/>
      <c r="K14" s="177"/>
      <c r="L14" s="177"/>
      <c r="M14" s="177"/>
      <c r="N14" s="177"/>
      <c r="O14" s="177"/>
      <c r="P14" s="177"/>
      <c r="Q14" s="178"/>
      <c r="R14" s="114"/>
      <c r="S14" s="115"/>
      <c r="T14" s="91"/>
      <c r="U14" s="91"/>
      <c r="V14" s="91"/>
      <c r="W14" s="91"/>
      <c r="X14" s="91"/>
      <c r="Y14" s="91"/>
      <c r="Z14" s="103"/>
      <c r="AA14" s="103"/>
      <c r="AB14" s="103"/>
      <c r="AC14" s="103"/>
      <c r="AD14" s="103"/>
      <c r="AE14" s="103"/>
      <c r="AF14" s="103"/>
      <c r="AG14" s="103"/>
      <c r="AH14" s="103"/>
      <c r="AI14" s="103"/>
      <c r="AJ14" s="103"/>
      <c r="AK14" s="103"/>
      <c r="AL14" s="103"/>
      <c r="AM14" s="103"/>
      <c r="AN14" s="103"/>
      <c r="AO14" s="103"/>
      <c r="AP14" s="103"/>
      <c r="AQ14" s="103"/>
      <c r="AR14" s="103"/>
      <c r="AS14" s="103"/>
      <c r="AT14" s="103"/>
      <c r="AU14" s="103"/>
    </row>
    <row r="15" spans="1:47" ht="94.5" outlineLevel="2">
      <c r="A15" s="101" t="str">
        <f>IF(AND(C15="",C15=""),"",$D$3&amp;"_"&amp;ROW()-12-COUNTBLANK($C$13:C15))</f>
        <v>YC_02_1</v>
      </c>
      <c r="B15" s="113" t="s">
        <v>78</v>
      </c>
      <c r="C15" s="112" t="s">
        <v>79</v>
      </c>
      <c r="D15" s="112" t="s">
        <v>80</v>
      </c>
      <c r="E15" s="109" t="s">
        <v>75</v>
      </c>
      <c r="F15" s="107"/>
      <c r="G15" s="107"/>
      <c r="H15" s="109" t="s">
        <v>75</v>
      </c>
      <c r="I15" s="107"/>
      <c r="J15" s="107"/>
      <c r="K15" s="102"/>
      <c r="L15" s="102"/>
      <c r="M15" s="102"/>
      <c r="N15" s="102"/>
      <c r="O15" s="102"/>
      <c r="P15" s="102"/>
      <c r="Q15" s="108" t="str">
        <f t="shared" ref="Q15:Q24" si="0">IF(OR(IF(G15="",IF(F15="",IF(E15="","",E15),F15),G15)="F",IF(J15="",IF(I15="",IF(H15="","",H15),I15),J15)="F",IF(M15="",IF(L15="",IF(K15="","",K15),L15),M15)="F",IF(P15="",IF(O15="",IF(N15="","",N15),O15),P15)="F")=TRUE,"F",IF(OR(IF(G15="",IF(F15="",IF(E15="","",E15),F15),G15)="PE",IF(J15="",IF(I15="",IF(H15="","",H15),I15),J15)="PE",IF(M15="",IF(L15="",IF(K15="","",K15),L15),M15)="PE",IF(P15="",IF(O15="",IF(N15="","",N15),O15),P15)="PE")=TRUE,"PE",IF(AND(IF(G15="",IF(F15="",IF(E15="","",E15),F15),G15)="",IF(J15="",IF(I15="",IF(H15="","",H15),I15),J15)="",IF(M15="",IF(L15="",IF(K15="","",K15),L15),M15)="",IF(P15="",IF(O15="",IF(N15="","",N15),O15),P15)="")=TRUE,"","P")))</f>
        <v>P</v>
      </c>
      <c r="R15" s="110"/>
      <c r="S15" s="111"/>
      <c r="T15" s="19"/>
      <c r="U15" s="19"/>
      <c r="V15" s="19"/>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row>
    <row r="16" spans="1:47" s="122" customFormat="1" outlineLevel="1">
      <c r="A16" s="101" t="str">
        <f>IF(AND(C16="",C16=""),"",$D$3&amp;"_"&amp;ROW()-12-COUNTBLANK($C$13:C16))</f>
        <v/>
      </c>
      <c r="B16" s="176" t="s">
        <v>23</v>
      </c>
      <c r="C16" s="177"/>
      <c r="D16" s="177"/>
      <c r="E16" s="177"/>
      <c r="F16" s="177"/>
      <c r="G16" s="177"/>
      <c r="H16" s="177"/>
      <c r="I16" s="177"/>
      <c r="J16" s="177"/>
      <c r="K16" s="177"/>
      <c r="L16" s="177"/>
      <c r="M16" s="177"/>
      <c r="N16" s="177"/>
      <c r="O16" s="177"/>
      <c r="P16" s="177"/>
      <c r="Q16" s="178"/>
      <c r="R16" s="118"/>
      <c r="S16" s="119"/>
      <c r="T16" s="120"/>
      <c r="U16" s="120"/>
      <c r="V16" s="120"/>
      <c r="W16" s="121"/>
      <c r="X16" s="121"/>
      <c r="Y16" s="121"/>
      <c r="Z16" s="121"/>
      <c r="AA16" s="121"/>
      <c r="AB16" s="121"/>
      <c r="AC16" s="121"/>
      <c r="AD16" s="121"/>
      <c r="AE16" s="121"/>
      <c r="AF16" s="121"/>
      <c r="AG16" s="121"/>
      <c r="AH16" s="121"/>
      <c r="AI16" s="121"/>
      <c r="AJ16" s="121"/>
      <c r="AK16" s="121"/>
      <c r="AL16" s="121"/>
      <c r="AM16" s="121"/>
      <c r="AN16" s="121"/>
      <c r="AO16" s="121"/>
      <c r="AP16" s="121"/>
      <c r="AQ16" s="121"/>
      <c r="AR16" s="121"/>
      <c r="AS16" s="121"/>
      <c r="AT16" s="121"/>
      <c r="AU16" s="121"/>
    </row>
    <row r="17" spans="1:47" outlineLevel="2">
      <c r="A17" s="101" t="str">
        <f>IF(AND(C17="",C17=""),"",$D$3&amp;"_"&amp;ROW()-12-COUNTBLANK($C$13:C17))</f>
        <v/>
      </c>
      <c r="B17" s="182" t="s">
        <v>83</v>
      </c>
      <c r="C17" s="183"/>
      <c r="D17" s="183"/>
      <c r="E17" s="183"/>
      <c r="F17" s="183"/>
      <c r="G17" s="183"/>
      <c r="H17" s="183"/>
      <c r="I17" s="183"/>
      <c r="J17" s="183"/>
      <c r="K17" s="183"/>
      <c r="L17" s="183"/>
      <c r="M17" s="183"/>
      <c r="N17" s="183"/>
      <c r="O17" s="183"/>
      <c r="P17" s="183"/>
      <c r="Q17" s="184"/>
      <c r="R17" s="110"/>
      <c r="S17" s="111"/>
      <c r="T17" s="19"/>
      <c r="U17" s="19"/>
      <c r="V17" s="19"/>
      <c r="W17" s="104"/>
      <c r="X17" s="104"/>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row>
    <row r="18" spans="1:47" s="105" customFormat="1" ht="47.25" outlineLevel="3">
      <c r="A18" s="101" t="str">
        <f>IF(AND(C18="",C18=""),"",$D$3&amp;"_"&amp;ROW()-12-COUNTBLANK($C$13:C18))</f>
        <v>YC_02_2</v>
      </c>
      <c r="B18" s="130" t="s">
        <v>85</v>
      </c>
      <c r="C18" s="130" t="s">
        <v>87</v>
      </c>
      <c r="D18" s="130" t="s">
        <v>88</v>
      </c>
      <c r="E18" s="109" t="s">
        <v>75</v>
      </c>
      <c r="F18" s="125"/>
      <c r="G18" s="125"/>
      <c r="H18" s="109" t="s">
        <v>75</v>
      </c>
      <c r="I18" s="107"/>
      <c r="J18" s="107"/>
      <c r="K18" s="124"/>
      <c r="L18" s="124"/>
      <c r="M18" s="124"/>
      <c r="N18" s="124"/>
      <c r="O18" s="124"/>
      <c r="P18" s="124"/>
      <c r="Q18" s="108" t="str">
        <f t="shared" ref="Q18" si="1">IF(OR(IF(G18="",IF(F18="",IF(E18="","",E18),F18),G18)="F",IF(J18="",IF(I18="",IF(H18="","",H18),I18),J18)="F",IF(M18="",IF(L18="",IF(K18="","",K18),L18),M18)="F",IF(P18="",IF(O18="",IF(N18="","",N18),O18),P18)="F")=TRUE,"F",IF(OR(IF(G18="",IF(F18="",IF(E18="","",E18),F18),G18)="PE",IF(J18="",IF(I18="",IF(H18="","",H18),I18),J18)="PE",IF(M18="",IF(L18="",IF(K18="","",K18),L18),M18)="PE",IF(P18="",IF(O18="",IF(N18="","",N18),O18),P18)="PE")=TRUE,"PE",IF(AND(IF(G18="",IF(F18="",IF(E18="","",E18),F18),G18)="",IF(J18="",IF(I18="",IF(H18="","",H18),I18),J18)="",IF(M18="",IF(L18="",IF(K18="","",K18),L18),M18)="",IF(P18="",IF(O18="",IF(N18="","",N18),O18),P18)="")=TRUE,"","P")))</f>
        <v>P</v>
      </c>
      <c r="R18" s="126"/>
      <c r="S18" s="127"/>
      <c r="T18" s="128"/>
      <c r="U18" s="128"/>
      <c r="V18" s="128"/>
      <c r="W18" s="129"/>
      <c r="X18" s="129"/>
      <c r="Y18" s="129"/>
      <c r="Z18" s="129"/>
      <c r="AA18" s="129"/>
      <c r="AB18" s="129"/>
      <c r="AC18" s="129"/>
      <c r="AD18" s="129"/>
      <c r="AE18" s="129"/>
      <c r="AF18" s="129"/>
      <c r="AG18" s="129"/>
      <c r="AH18" s="129"/>
      <c r="AI18" s="129"/>
      <c r="AJ18" s="129"/>
      <c r="AK18" s="129"/>
      <c r="AL18" s="129"/>
      <c r="AM18" s="129"/>
      <c r="AN18" s="129"/>
      <c r="AO18" s="129"/>
      <c r="AP18" s="129"/>
      <c r="AQ18" s="129"/>
      <c r="AR18" s="129"/>
      <c r="AS18" s="129"/>
      <c r="AT18" s="129"/>
      <c r="AU18" s="129"/>
    </row>
    <row r="19" spans="1:47" s="105" customFormat="1" ht="47.25" outlineLevel="3">
      <c r="A19" s="101" t="str">
        <f>IF(AND(C19="",C19=""),"",$D$3&amp;"_"&amp;ROW()-12-COUNTBLANK($C$13:C19))</f>
        <v>YC_02_3</v>
      </c>
      <c r="B19" s="130" t="s">
        <v>81</v>
      </c>
      <c r="C19" s="130" t="s">
        <v>84</v>
      </c>
      <c r="D19" s="130" t="s">
        <v>89</v>
      </c>
      <c r="E19" s="109" t="s">
        <v>75</v>
      </c>
      <c r="F19" s="125"/>
      <c r="G19" s="125"/>
      <c r="H19" s="109" t="s">
        <v>75</v>
      </c>
      <c r="I19" s="107"/>
      <c r="J19" s="107"/>
      <c r="K19" s="124"/>
      <c r="L19" s="124"/>
      <c r="M19" s="124"/>
      <c r="N19" s="124"/>
      <c r="O19" s="124"/>
      <c r="P19" s="124"/>
      <c r="Q19" s="108" t="str">
        <f t="shared" si="0"/>
        <v>P</v>
      </c>
      <c r="R19" s="126"/>
      <c r="S19" s="127"/>
      <c r="T19" s="128"/>
      <c r="U19" s="128"/>
      <c r="V19" s="128"/>
      <c r="W19" s="129"/>
      <c r="X19" s="129"/>
      <c r="Y19" s="129"/>
      <c r="Z19" s="129"/>
      <c r="AA19" s="129"/>
      <c r="AB19" s="129"/>
      <c r="AC19" s="129"/>
      <c r="AD19" s="129"/>
      <c r="AE19" s="129"/>
      <c r="AF19" s="129"/>
      <c r="AG19" s="129"/>
      <c r="AH19" s="129"/>
      <c r="AI19" s="129"/>
      <c r="AJ19" s="129"/>
      <c r="AK19" s="129"/>
      <c r="AL19" s="129"/>
      <c r="AM19" s="129"/>
      <c r="AN19" s="129"/>
      <c r="AO19" s="129"/>
      <c r="AP19" s="129"/>
      <c r="AQ19" s="129"/>
      <c r="AR19" s="129"/>
      <c r="AS19" s="129"/>
      <c r="AT19" s="129"/>
      <c r="AU19" s="129"/>
    </row>
    <row r="20" spans="1:47" s="105" customFormat="1" ht="47.25" outlineLevel="3">
      <c r="A20" s="101" t="str">
        <f>IF(AND(C20="",C20=""),"",$D$3&amp;"_"&amp;ROW()-12-COUNTBLANK($C$13:C20))</f>
        <v>YC_02_4</v>
      </c>
      <c r="B20" s="130" t="s">
        <v>82</v>
      </c>
      <c r="C20" s="130" t="s">
        <v>90</v>
      </c>
      <c r="D20" s="130" t="s">
        <v>91</v>
      </c>
      <c r="E20" s="109" t="s">
        <v>75</v>
      </c>
      <c r="F20" s="125"/>
      <c r="G20" s="125"/>
      <c r="H20" s="109" t="s">
        <v>75</v>
      </c>
      <c r="I20" s="107"/>
      <c r="J20" s="107"/>
      <c r="K20" s="124"/>
      <c r="L20" s="124"/>
      <c r="M20" s="124"/>
      <c r="N20" s="124"/>
      <c r="O20" s="124"/>
      <c r="P20" s="124"/>
      <c r="Q20" s="108" t="str">
        <f t="shared" si="0"/>
        <v>P</v>
      </c>
      <c r="R20" s="126"/>
      <c r="S20" s="127"/>
      <c r="T20" s="128"/>
      <c r="U20" s="128"/>
      <c r="V20" s="128"/>
      <c r="W20" s="129"/>
      <c r="X20" s="129"/>
      <c r="Y20" s="129"/>
      <c r="Z20" s="129"/>
      <c r="AA20" s="129"/>
      <c r="AB20" s="129"/>
      <c r="AC20" s="129"/>
      <c r="AD20" s="129"/>
      <c r="AE20" s="129"/>
      <c r="AF20" s="129"/>
      <c r="AG20" s="129"/>
      <c r="AH20" s="129"/>
      <c r="AI20" s="129"/>
      <c r="AJ20" s="129"/>
      <c r="AK20" s="129"/>
      <c r="AL20" s="129"/>
      <c r="AM20" s="129"/>
      <c r="AN20" s="129"/>
      <c r="AO20" s="129"/>
      <c r="AP20" s="129"/>
      <c r="AQ20" s="129"/>
      <c r="AR20" s="129"/>
      <c r="AS20" s="129"/>
      <c r="AT20" s="129"/>
      <c r="AU20" s="129"/>
    </row>
    <row r="21" spans="1:47" s="105" customFormat="1" ht="47.25" outlineLevel="3">
      <c r="A21" s="101" t="str">
        <f>IF(AND(C21="",C21=""),"",$D$3&amp;"_"&amp;ROW()-12-COUNTBLANK($C$13:C21))</f>
        <v>YC_02_5</v>
      </c>
      <c r="B21" s="130" t="s">
        <v>94</v>
      </c>
      <c r="C21" s="130" t="s">
        <v>92</v>
      </c>
      <c r="D21" s="130" t="s">
        <v>93</v>
      </c>
      <c r="E21" s="109" t="s">
        <v>75</v>
      </c>
      <c r="F21" s="125"/>
      <c r="G21" s="125"/>
      <c r="H21" s="109" t="s">
        <v>75</v>
      </c>
      <c r="I21" s="107"/>
      <c r="J21" s="107"/>
      <c r="K21" s="124"/>
      <c r="L21" s="124"/>
      <c r="M21" s="124"/>
      <c r="N21" s="124"/>
      <c r="O21" s="124"/>
      <c r="P21" s="124"/>
      <c r="Q21" s="108" t="str">
        <f t="shared" si="0"/>
        <v>P</v>
      </c>
      <c r="R21" s="126"/>
      <c r="S21" s="127"/>
      <c r="T21" s="128"/>
      <c r="U21" s="128"/>
      <c r="V21" s="128"/>
      <c r="W21" s="129"/>
      <c r="X21" s="129"/>
      <c r="Y21" s="129"/>
      <c r="Z21" s="129"/>
      <c r="AA21" s="129"/>
      <c r="AB21" s="129"/>
      <c r="AC21" s="129"/>
      <c r="AD21" s="129"/>
      <c r="AE21" s="129"/>
      <c r="AF21" s="129"/>
      <c r="AG21" s="129"/>
      <c r="AH21" s="129"/>
      <c r="AI21" s="129"/>
      <c r="AJ21" s="129"/>
      <c r="AK21" s="129"/>
      <c r="AL21" s="129"/>
      <c r="AM21" s="129"/>
      <c r="AN21" s="129"/>
      <c r="AO21" s="129"/>
      <c r="AP21" s="129"/>
      <c r="AQ21" s="129"/>
      <c r="AR21" s="129"/>
      <c r="AS21" s="129"/>
      <c r="AT21" s="129"/>
      <c r="AU21" s="129"/>
    </row>
    <row r="22" spans="1:47" s="105" customFormat="1" ht="47.25" outlineLevel="3">
      <c r="A22" s="101" t="str">
        <f>IF(AND(C22="",C22=""),"",$D$3&amp;"_"&amp;ROW()-12-COUNTBLANK($C$13:C22))</f>
        <v>YC_02_6</v>
      </c>
      <c r="B22" s="130" t="s">
        <v>95</v>
      </c>
      <c r="C22" s="130" t="s">
        <v>96</v>
      </c>
      <c r="D22" s="130" t="s">
        <v>97</v>
      </c>
      <c r="E22" s="109" t="s">
        <v>75</v>
      </c>
      <c r="F22" s="125"/>
      <c r="G22" s="125"/>
      <c r="H22" s="109" t="s">
        <v>75</v>
      </c>
      <c r="I22" s="107"/>
      <c r="J22" s="107"/>
      <c r="K22" s="124"/>
      <c r="L22" s="124"/>
      <c r="M22" s="124"/>
      <c r="N22" s="124"/>
      <c r="O22" s="124"/>
      <c r="P22" s="124"/>
      <c r="Q22" s="108" t="str">
        <f t="shared" si="0"/>
        <v>P</v>
      </c>
      <c r="R22" s="126"/>
      <c r="S22" s="127"/>
      <c r="T22" s="128"/>
      <c r="U22" s="128"/>
      <c r="V22" s="128"/>
      <c r="W22" s="129"/>
      <c r="X22" s="129"/>
      <c r="Y22" s="129"/>
      <c r="Z22" s="129"/>
      <c r="AA22" s="129"/>
      <c r="AB22" s="129"/>
      <c r="AC22" s="129"/>
      <c r="AD22" s="129"/>
      <c r="AE22" s="129"/>
      <c r="AF22" s="129"/>
      <c r="AG22" s="129"/>
      <c r="AH22" s="129"/>
      <c r="AI22" s="129"/>
      <c r="AJ22" s="129"/>
      <c r="AK22" s="129"/>
      <c r="AL22" s="129"/>
      <c r="AM22" s="129"/>
      <c r="AN22" s="129"/>
      <c r="AO22" s="129"/>
      <c r="AP22" s="129"/>
      <c r="AQ22" s="129"/>
      <c r="AR22" s="129"/>
      <c r="AS22" s="129"/>
      <c r="AT22" s="129"/>
      <c r="AU22" s="129"/>
    </row>
    <row r="23" spans="1:47" s="105" customFormat="1" ht="47.25" outlineLevel="3">
      <c r="A23" s="101" t="str">
        <f>IF(AND(C23="",C23=""),"",$D$3&amp;"_"&amp;ROW()-12-COUNTBLANK($C$13:C23))</f>
        <v>YC_02_7</v>
      </c>
      <c r="B23" s="130" t="s">
        <v>98</v>
      </c>
      <c r="C23" s="130" t="s">
        <v>99</v>
      </c>
      <c r="D23" s="130" t="s">
        <v>100</v>
      </c>
      <c r="E23" s="109" t="s">
        <v>75</v>
      </c>
      <c r="F23" s="125"/>
      <c r="G23" s="125"/>
      <c r="H23" s="109" t="s">
        <v>75</v>
      </c>
      <c r="I23" s="107"/>
      <c r="J23" s="107"/>
      <c r="K23" s="124"/>
      <c r="L23" s="124"/>
      <c r="M23" s="124"/>
      <c r="N23" s="124"/>
      <c r="O23" s="124"/>
      <c r="P23" s="124"/>
      <c r="Q23" s="108" t="str">
        <f t="shared" si="0"/>
        <v>P</v>
      </c>
      <c r="R23" s="126"/>
      <c r="S23" s="127"/>
      <c r="T23" s="128"/>
      <c r="U23" s="128"/>
      <c r="V23" s="128"/>
      <c r="W23" s="129"/>
      <c r="X23" s="129"/>
      <c r="Y23" s="129"/>
      <c r="Z23" s="129"/>
      <c r="AA23" s="129"/>
      <c r="AB23" s="129"/>
      <c r="AC23" s="129"/>
      <c r="AD23" s="129"/>
      <c r="AE23" s="129"/>
      <c r="AF23" s="129"/>
      <c r="AG23" s="129"/>
      <c r="AH23" s="129"/>
      <c r="AI23" s="129"/>
      <c r="AJ23" s="129"/>
      <c r="AK23" s="129"/>
      <c r="AL23" s="129"/>
      <c r="AM23" s="129"/>
      <c r="AN23" s="129"/>
      <c r="AO23" s="129"/>
      <c r="AP23" s="129"/>
      <c r="AQ23" s="129"/>
      <c r="AR23" s="129"/>
      <c r="AS23" s="129"/>
      <c r="AT23" s="129"/>
      <c r="AU23" s="129"/>
    </row>
    <row r="24" spans="1:47" s="105" customFormat="1" ht="47.25" outlineLevel="3">
      <c r="A24" s="101" t="str">
        <f>IF(AND(C24="",C24=""),"",$D$3&amp;"_"&amp;ROW()-12-COUNTBLANK($C$13:C24))</f>
        <v>YC_02_8</v>
      </c>
      <c r="B24" s="130" t="s">
        <v>101</v>
      </c>
      <c r="C24" s="130" t="s">
        <v>102</v>
      </c>
      <c r="D24" s="130" t="s">
        <v>103</v>
      </c>
      <c r="E24" s="109" t="s">
        <v>75</v>
      </c>
      <c r="F24" s="125"/>
      <c r="G24" s="125"/>
      <c r="H24" s="109" t="s">
        <v>75</v>
      </c>
      <c r="I24" s="107"/>
      <c r="J24" s="107"/>
      <c r="K24" s="124"/>
      <c r="L24" s="124"/>
      <c r="M24" s="124"/>
      <c r="N24" s="124"/>
      <c r="O24" s="124"/>
      <c r="P24" s="124"/>
      <c r="Q24" s="108" t="str">
        <f t="shared" si="0"/>
        <v>P</v>
      </c>
      <c r="R24" s="126"/>
      <c r="S24" s="127"/>
      <c r="T24" s="128"/>
      <c r="U24" s="128"/>
      <c r="V24" s="128"/>
      <c r="W24" s="129"/>
      <c r="X24" s="129"/>
      <c r="Y24" s="129"/>
      <c r="Z24" s="129"/>
      <c r="AA24" s="129"/>
      <c r="AB24" s="129"/>
      <c r="AC24" s="129"/>
      <c r="AD24" s="129"/>
      <c r="AE24" s="129"/>
      <c r="AF24" s="129"/>
      <c r="AG24" s="129"/>
      <c r="AH24" s="129"/>
      <c r="AI24" s="129"/>
      <c r="AJ24" s="129"/>
      <c r="AK24" s="129"/>
      <c r="AL24" s="129"/>
      <c r="AM24" s="129"/>
      <c r="AN24" s="129"/>
      <c r="AO24" s="129"/>
      <c r="AP24" s="129"/>
      <c r="AQ24" s="129"/>
      <c r="AR24" s="129"/>
      <c r="AS24" s="129"/>
      <c r="AT24" s="129"/>
      <c r="AU24" s="129"/>
    </row>
    <row r="25" spans="1:47" outlineLevel="2">
      <c r="A25" s="101" t="str">
        <f>IF(AND(C25="",C25=""),"",$D$3&amp;"_"&amp;ROW()-12-COUNTBLANK($C$13:C25))</f>
        <v/>
      </c>
      <c r="B25" s="182" t="s">
        <v>110</v>
      </c>
      <c r="C25" s="183"/>
      <c r="D25" s="183"/>
      <c r="E25" s="183"/>
      <c r="F25" s="183"/>
      <c r="G25" s="183"/>
      <c r="H25" s="183"/>
      <c r="I25" s="183"/>
      <c r="J25" s="183"/>
      <c r="K25" s="183"/>
      <c r="L25" s="183"/>
      <c r="M25" s="183"/>
      <c r="N25" s="183"/>
      <c r="O25" s="183"/>
      <c r="P25" s="183"/>
      <c r="Q25" s="184"/>
      <c r="R25" s="110"/>
      <c r="S25" s="111"/>
      <c r="T25" s="19"/>
      <c r="U25" s="19"/>
      <c r="V25" s="19"/>
      <c r="W25" s="104"/>
      <c r="X25" s="104"/>
      <c r="Y25" s="104"/>
      <c r="Z25" s="104"/>
      <c r="AA25" s="104"/>
      <c r="AB25" s="104"/>
      <c r="AC25" s="104"/>
      <c r="AD25" s="104"/>
      <c r="AE25" s="104"/>
      <c r="AF25" s="104"/>
      <c r="AG25" s="104"/>
      <c r="AH25" s="104"/>
      <c r="AI25" s="104"/>
      <c r="AJ25" s="104"/>
      <c r="AK25" s="104"/>
      <c r="AL25" s="104"/>
      <c r="AM25" s="104"/>
      <c r="AN25" s="104"/>
      <c r="AO25" s="104"/>
      <c r="AP25" s="104"/>
      <c r="AQ25" s="104"/>
      <c r="AR25" s="104"/>
      <c r="AS25" s="104"/>
      <c r="AT25" s="104"/>
      <c r="AU25" s="104"/>
    </row>
    <row r="26" spans="1:47" s="105" customFormat="1" ht="47.25" outlineLevel="3">
      <c r="A26" s="101" t="str">
        <f>IF(AND(C26="",C26=""),"",$D$3&amp;"_"&amp;ROW()-12-COUNTBLANK($C$13:C26))</f>
        <v>YC_02_9</v>
      </c>
      <c r="B26" s="130" t="s">
        <v>85</v>
      </c>
      <c r="C26" s="130" t="s">
        <v>87</v>
      </c>
      <c r="D26" s="130" t="s">
        <v>88</v>
      </c>
      <c r="E26" s="109" t="s">
        <v>75</v>
      </c>
      <c r="F26" s="125"/>
      <c r="G26" s="125"/>
      <c r="H26" s="109" t="s">
        <v>75</v>
      </c>
      <c r="I26" s="107"/>
      <c r="J26" s="107"/>
      <c r="K26" s="124"/>
      <c r="L26" s="124"/>
      <c r="M26" s="124"/>
      <c r="N26" s="124"/>
      <c r="O26" s="124"/>
      <c r="P26" s="124"/>
      <c r="Q26" s="108" t="str">
        <f t="shared" ref="Q26:Q29" si="2">IF(OR(IF(G26="",IF(F26="",IF(E26="","",E26),F26),G26)="F",IF(J26="",IF(I26="",IF(H26="","",H26),I26),J26)="F",IF(M26="",IF(L26="",IF(K26="","",K26),L26),M26)="F",IF(P26="",IF(O26="",IF(N26="","",N26),O26),P26)="F")=TRUE,"F",IF(OR(IF(G26="",IF(F26="",IF(E26="","",E26),F26),G26)="PE",IF(J26="",IF(I26="",IF(H26="","",H26),I26),J26)="PE",IF(M26="",IF(L26="",IF(K26="","",K26),L26),M26)="PE",IF(P26="",IF(O26="",IF(N26="","",N26),O26),P26)="PE")=TRUE,"PE",IF(AND(IF(G26="",IF(F26="",IF(E26="","",E26),F26),G26)="",IF(J26="",IF(I26="",IF(H26="","",H26),I26),J26)="",IF(M26="",IF(L26="",IF(K26="","",K26),L26),M26)="",IF(P26="",IF(O26="",IF(N26="","",N26),O26),P26)="")=TRUE,"","P")))</f>
        <v>P</v>
      </c>
      <c r="R26" s="126"/>
      <c r="S26" s="127"/>
      <c r="T26" s="128"/>
      <c r="U26" s="128"/>
      <c r="V26" s="128"/>
      <c r="W26" s="129"/>
      <c r="X26" s="129"/>
      <c r="Y26" s="129"/>
      <c r="Z26" s="129"/>
      <c r="AA26" s="129"/>
      <c r="AB26" s="129"/>
      <c r="AC26" s="129"/>
      <c r="AD26" s="129"/>
      <c r="AE26" s="129"/>
      <c r="AF26" s="129"/>
      <c r="AG26" s="129"/>
      <c r="AH26" s="129"/>
      <c r="AI26" s="129"/>
      <c r="AJ26" s="129"/>
      <c r="AK26" s="129"/>
      <c r="AL26" s="129"/>
      <c r="AM26" s="129"/>
      <c r="AN26" s="129"/>
      <c r="AO26" s="129"/>
      <c r="AP26" s="129"/>
      <c r="AQ26" s="129"/>
      <c r="AR26" s="129"/>
      <c r="AS26" s="129"/>
      <c r="AT26" s="129"/>
      <c r="AU26" s="129"/>
    </row>
    <row r="27" spans="1:47" s="105" customFormat="1" ht="47.25" outlineLevel="3">
      <c r="A27" s="101" t="str">
        <f>IF(AND(C27="",C27=""),"",$D$3&amp;"_"&amp;ROW()-12-COUNTBLANK($C$13:C27))</f>
        <v>YC_02_10</v>
      </c>
      <c r="B27" s="130" t="s">
        <v>82</v>
      </c>
      <c r="C27" s="130" t="s">
        <v>90</v>
      </c>
      <c r="D27" s="130" t="s">
        <v>91</v>
      </c>
      <c r="E27" s="109" t="s">
        <v>75</v>
      </c>
      <c r="F27" s="125"/>
      <c r="G27" s="125"/>
      <c r="H27" s="109" t="s">
        <v>75</v>
      </c>
      <c r="I27" s="107"/>
      <c r="J27" s="107"/>
      <c r="K27" s="124"/>
      <c r="L27" s="124"/>
      <c r="M27" s="124"/>
      <c r="N27" s="124"/>
      <c r="O27" s="124"/>
      <c r="P27" s="124"/>
      <c r="Q27" s="108" t="str">
        <f t="shared" si="2"/>
        <v>P</v>
      </c>
      <c r="R27" s="126"/>
      <c r="S27" s="127"/>
      <c r="T27" s="128"/>
      <c r="U27" s="128"/>
      <c r="V27" s="128"/>
      <c r="W27" s="129"/>
      <c r="X27" s="129"/>
      <c r="Y27" s="129"/>
      <c r="Z27" s="129"/>
      <c r="AA27" s="129"/>
      <c r="AB27" s="129"/>
      <c r="AC27" s="129"/>
      <c r="AD27" s="129"/>
      <c r="AE27" s="129"/>
      <c r="AF27" s="129"/>
      <c r="AG27" s="129"/>
      <c r="AH27" s="129"/>
      <c r="AI27" s="129"/>
      <c r="AJ27" s="129"/>
      <c r="AK27" s="129"/>
      <c r="AL27" s="129"/>
      <c r="AM27" s="129"/>
      <c r="AN27" s="129"/>
      <c r="AO27" s="129"/>
      <c r="AP27" s="129"/>
      <c r="AQ27" s="129"/>
      <c r="AR27" s="129"/>
      <c r="AS27" s="129"/>
      <c r="AT27" s="129"/>
      <c r="AU27" s="129"/>
    </row>
    <row r="28" spans="1:47" s="105" customFormat="1" ht="47.25" outlineLevel="3">
      <c r="A28" s="101" t="str">
        <f>IF(AND(C28="",C28=""),"",$D$3&amp;"_"&amp;ROW()-12-COUNTBLANK($C$13:C28))</f>
        <v>YC_02_11</v>
      </c>
      <c r="B28" s="130" t="s">
        <v>95</v>
      </c>
      <c r="C28" s="130" t="s">
        <v>96</v>
      </c>
      <c r="D28" s="130" t="s">
        <v>97</v>
      </c>
      <c r="E28" s="109" t="s">
        <v>75</v>
      </c>
      <c r="F28" s="125"/>
      <c r="G28" s="125"/>
      <c r="H28" s="109" t="s">
        <v>75</v>
      </c>
      <c r="I28" s="107"/>
      <c r="J28" s="107"/>
      <c r="K28" s="124"/>
      <c r="L28" s="124"/>
      <c r="M28" s="124"/>
      <c r="N28" s="124"/>
      <c r="O28" s="124"/>
      <c r="P28" s="124"/>
      <c r="Q28" s="108" t="str">
        <f t="shared" si="2"/>
        <v>P</v>
      </c>
      <c r="R28" s="126"/>
      <c r="S28" s="127"/>
      <c r="T28" s="128"/>
      <c r="U28" s="128"/>
      <c r="V28" s="128"/>
      <c r="W28" s="129"/>
      <c r="X28" s="129"/>
      <c r="Y28" s="129"/>
      <c r="Z28" s="129"/>
      <c r="AA28" s="129"/>
      <c r="AB28" s="129"/>
      <c r="AC28" s="129"/>
      <c r="AD28" s="129"/>
      <c r="AE28" s="129"/>
      <c r="AF28" s="129"/>
      <c r="AG28" s="129"/>
      <c r="AH28" s="129"/>
      <c r="AI28" s="129"/>
      <c r="AJ28" s="129"/>
      <c r="AK28" s="129"/>
      <c r="AL28" s="129"/>
      <c r="AM28" s="129"/>
      <c r="AN28" s="129"/>
      <c r="AO28" s="129"/>
      <c r="AP28" s="129"/>
      <c r="AQ28" s="129"/>
      <c r="AR28" s="129"/>
      <c r="AS28" s="129"/>
      <c r="AT28" s="129"/>
      <c r="AU28" s="129"/>
    </row>
    <row r="29" spans="1:47" s="105" customFormat="1" ht="47.25" outlineLevel="3">
      <c r="A29" s="101" t="str">
        <f>IF(AND(C29="",C29=""),"",$D$3&amp;"_"&amp;ROW()-12-COUNTBLANK($C$13:C29))</f>
        <v>YC_02_12</v>
      </c>
      <c r="B29" s="130" t="s">
        <v>101</v>
      </c>
      <c r="C29" s="130" t="s">
        <v>102</v>
      </c>
      <c r="D29" s="130" t="s">
        <v>103</v>
      </c>
      <c r="E29" s="109" t="s">
        <v>75</v>
      </c>
      <c r="F29" s="125"/>
      <c r="G29" s="125"/>
      <c r="H29" s="109" t="s">
        <v>75</v>
      </c>
      <c r="I29" s="107"/>
      <c r="J29" s="107"/>
      <c r="K29" s="124"/>
      <c r="L29" s="124"/>
      <c r="M29" s="124"/>
      <c r="N29" s="124"/>
      <c r="O29" s="124"/>
      <c r="P29" s="124"/>
      <c r="Q29" s="108" t="str">
        <f t="shared" si="2"/>
        <v>P</v>
      </c>
      <c r="R29" s="126"/>
      <c r="S29" s="127"/>
      <c r="T29" s="128"/>
      <c r="U29" s="128"/>
      <c r="V29" s="128"/>
      <c r="W29" s="129"/>
      <c r="X29" s="129"/>
      <c r="Y29" s="129"/>
      <c r="Z29" s="129"/>
      <c r="AA29" s="129"/>
      <c r="AB29" s="129"/>
      <c r="AC29" s="129"/>
      <c r="AD29" s="129"/>
      <c r="AE29" s="129"/>
      <c r="AF29" s="129"/>
      <c r="AG29" s="129"/>
      <c r="AH29" s="129"/>
      <c r="AI29" s="129"/>
      <c r="AJ29" s="129"/>
      <c r="AK29" s="129"/>
      <c r="AL29" s="129"/>
      <c r="AM29" s="129"/>
      <c r="AN29" s="129"/>
      <c r="AO29" s="129"/>
      <c r="AP29" s="129"/>
      <c r="AQ29" s="129"/>
      <c r="AR29" s="129"/>
      <c r="AS29" s="129"/>
      <c r="AT29" s="129"/>
      <c r="AU29" s="129"/>
    </row>
    <row r="30" spans="1:47" s="122" customFormat="1" outlineLevel="1">
      <c r="A30" s="101" t="str">
        <f>IF(AND(C30="",C30=""),"",$D$3&amp;"_"&amp;ROW()-12-COUNTBLANK($C$13:C30))</f>
        <v/>
      </c>
      <c r="B30" s="179" t="s">
        <v>24</v>
      </c>
      <c r="C30" s="180"/>
      <c r="D30" s="180"/>
      <c r="E30" s="180"/>
      <c r="F30" s="180"/>
      <c r="G30" s="180"/>
      <c r="H30" s="180"/>
      <c r="I30" s="180"/>
      <c r="J30" s="180"/>
      <c r="K30" s="180"/>
      <c r="L30" s="180"/>
      <c r="M30" s="180"/>
      <c r="N30" s="180"/>
      <c r="O30" s="180"/>
      <c r="P30" s="180"/>
      <c r="Q30" s="181"/>
      <c r="R30" s="118"/>
      <c r="S30" s="119"/>
      <c r="T30" s="120"/>
      <c r="U30" s="123"/>
      <c r="V30" s="123"/>
    </row>
    <row r="31" spans="1:47" outlineLevel="2">
      <c r="A31" s="101" t="str">
        <f>IF(AND(C31="",C31=""),"",$D$3&amp;"_"&amp;ROW()-12-COUNTBLANK($C$13:C31))</f>
        <v/>
      </c>
      <c r="B31" s="173" t="s">
        <v>22</v>
      </c>
      <c r="C31" s="174"/>
      <c r="D31" s="174"/>
      <c r="E31" s="174"/>
      <c r="F31" s="174"/>
      <c r="G31" s="174"/>
      <c r="H31" s="174"/>
      <c r="I31" s="174"/>
      <c r="J31" s="174"/>
      <c r="K31" s="174"/>
      <c r="L31" s="174"/>
      <c r="M31" s="174"/>
      <c r="N31" s="174"/>
      <c r="O31" s="174"/>
      <c r="P31" s="174"/>
      <c r="Q31" s="175"/>
      <c r="R31" s="110"/>
      <c r="S31" s="111"/>
      <c r="T31" s="19"/>
      <c r="U31" s="19"/>
      <c r="V31" s="19"/>
      <c r="W31" s="104"/>
      <c r="X31" s="104"/>
      <c r="Y31" s="104"/>
      <c r="Z31" s="104"/>
      <c r="AA31" s="104"/>
      <c r="AB31" s="104"/>
      <c r="AC31" s="104"/>
      <c r="AD31" s="104"/>
      <c r="AE31" s="104"/>
      <c r="AF31" s="104"/>
      <c r="AG31" s="104"/>
      <c r="AH31" s="104"/>
      <c r="AI31" s="104"/>
      <c r="AJ31" s="104"/>
      <c r="AK31" s="104"/>
      <c r="AL31" s="104"/>
      <c r="AM31" s="104"/>
      <c r="AN31" s="104"/>
      <c r="AO31" s="104"/>
      <c r="AP31" s="104"/>
      <c r="AQ31" s="104"/>
      <c r="AR31" s="104"/>
      <c r="AS31" s="104"/>
      <c r="AT31" s="104"/>
      <c r="AU31" s="104"/>
    </row>
    <row r="32" spans="1:47" s="122" customFormat="1" outlineLevel="1">
      <c r="A32" s="101" t="str">
        <f>IF(AND(C32="",C32=""),"",$D$3&amp;"_"&amp;ROW()-12-COUNTBLANK($C$13:C32))</f>
        <v/>
      </c>
      <c r="B32" s="176" t="s">
        <v>25</v>
      </c>
      <c r="C32" s="177"/>
      <c r="D32" s="177"/>
      <c r="E32" s="177"/>
      <c r="F32" s="177"/>
      <c r="G32" s="177"/>
      <c r="H32" s="177"/>
      <c r="I32" s="177"/>
      <c r="J32" s="177"/>
      <c r="K32" s="177"/>
      <c r="L32" s="177"/>
      <c r="M32" s="177"/>
      <c r="N32" s="177"/>
      <c r="O32" s="177"/>
      <c r="P32" s="177"/>
      <c r="Q32" s="178"/>
      <c r="R32" s="118"/>
      <c r="S32" s="119"/>
      <c r="T32" s="120"/>
      <c r="U32" s="123"/>
      <c r="V32" s="123"/>
    </row>
    <row r="33" spans="1:47" outlineLevel="2">
      <c r="A33" s="101" t="str">
        <f>IF(AND(C33="",C33=""),"",$D$3&amp;"_"&amp;ROW()-12-COUNTBLANK($C$13:C33))</f>
        <v/>
      </c>
      <c r="B33" s="173" t="s">
        <v>22</v>
      </c>
      <c r="C33" s="174"/>
      <c r="D33" s="174"/>
      <c r="E33" s="174"/>
      <c r="F33" s="174"/>
      <c r="G33" s="174"/>
      <c r="H33" s="174"/>
      <c r="I33" s="174"/>
      <c r="J33" s="174"/>
      <c r="K33" s="174"/>
      <c r="L33" s="174"/>
      <c r="M33" s="174"/>
      <c r="N33" s="174"/>
      <c r="O33" s="174"/>
      <c r="P33" s="174"/>
      <c r="Q33" s="175"/>
      <c r="R33" s="110"/>
      <c r="S33" s="111"/>
      <c r="T33" s="19"/>
      <c r="U33" s="19"/>
      <c r="V33" s="19"/>
      <c r="W33" s="104"/>
      <c r="X33" s="104"/>
      <c r="Y33" s="104"/>
      <c r="Z33" s="104"/>
      <c r="AA33" s="104"/>
      <c r="AB33" s="104"/>
      <c r="AC33" s="104"/>
      <c r="AD33" s="104"/>
      <c r="AE33" s="104"/>
      <c r="AF33" s="104"/>
      <c r="AG33" s="104"/>
      <c r="AH33" s="104"/>
      <c r="AI33" s="104"/>
      <c r="AJ33" s="104"/>
      <c r="AK33" s="104"/>
      <c r="AL33" s="104"/>
      <c r="AM33" s="104"/>
      <c r="AN33" s="104"/>
      <c r="AO33" s="104"/>
      <c r="AP33" s="104"/>
      <c r="AQ33" s="104"/>
      <c r="AR33" s="104"/>
      <c r="AS33" s="104"/>
      <c r="AT33" s="104"/>
      <c r="AU33" s="104"/>
    </row>
    <row r="34" spans="1:47" s="96" customFormat="1">
      <c r="B34" s="92"/>
      <c r="C34" s="92"/>
      <c r="D34" s="92"/>
      <c r="I34" s="21"/>
      <c r="J34" s="21"/>
      <c r="R34" s="92"/>
      <c r="S34" s="92"/>
      <c r="T34" s="92"/>
      <c r="U34" s="92"/>
      <c r="V34" s="92"/>
      <c r="W34" s="92"/>
      <c r="X34" s="92"/>
      <c r="Y34" s="92"/>
      <c r="Z34" s="92"/>
      <c r="AA34" s="92"/>
      <c r="AB34" s="92"/>
      <c r="AC34" s="92"/>
      <c r="AD34" s="92"/>
      <c r="AE34" s="92"/>
      <c r="AF34" s="92"/>
      <c r="AG34" s="92"/>
      <c r="AH34" s="92"/>
      <c r="AI34" s="92"/>
      <c r="AJ34" s="92"/>
      <c r="AK34" s="92"/>
      <c r="AL34" s="92"/>
      <c r="AM34" s="92"/>
      <c r="AN34" s="92"/>
      <c r="AO34" s="92"/>
      <c r="AP34" s="92"/>
      <c r="AQ34" s="92"/>
      <c r="AR34" s="92"/>
      <c r="AS34" s="92"/>
      <c r="AT34" s="92"/>
      <c r="AU34" s="92"/>
    </row>
    <row r="35" spans="1:47" s="96" customFormat="1">
      <c r="B35" s="92"/>
      <c r="C35" s="92"/>
      <c r="D35" s="92"/>
      <c r="I35" s="21"/>
      <c r="J35" s="21"/>
      <c r="R35" s="92"/>
      <c r="S35" s="92"/>
      <c r="T35" s="92"/>
      <c r="U35" s="92"/>
      <c r="V35" s="92"/>
      <c r="W35" s="92"/>
      <c r="X35" s="92"/>
      <c r="Y35" s="92"/>
      <c r="Z35" s="92"/>
      <c r="AA35" s="92"/>
      <c r="AB35" s="92"/>
      <c r="AC35" s="92"/>
      <c r="AD35" s="92"/>
      <c r="AE35" s="92"/>
      <c r="AF35" s="92"/>
      <c r="AG35" s="92"/>
      <c r="AH35" s="92"/>
      <c r="AI35" s="92"/>
      <c r="AJ35" s="92"/>
      <c r="AK35" s="92"/>
      <c r="AL35" s="92"/>
      <c r="AM35" s="92"/>
      <c r="AN35" s="92"/>
      <c r="AO35" s="92"/>
      <c r="AP35" s="92"/>
      <c r="AQ35" s="92"/>
      <c r="AR35" s="92"/>
      <c r="AS35" s="92"/>
      <c r="AT35" s="92"/>
      <c r="AU35" s="92"/>
    </row>
    <row r="43" spans="1:47" s="96" customFormat="1">
      <c r="B43" s="92"/>
      <c r="C43" s="92"/>
      <c r="D43" s="92"/>
      <c r="R43" s="92"/>
      <c r="S43" s="92"/>
      <c r="T43" s="92"/>
      <c r="U43" s="92"/>
      <c r="V43" s="92"/>
      <c r="W43" s="92"/>
      <c r="X43" s="92"/>
      <c r="Y43" s="92"/>
      <c r="Z43" s="92"/>
      <c r="AA43" s="92"/>
      <c r="AB43" s="92"/>
      <c r="AC43" s="92"/>
      <c r="AD43" s="92"/>
      <c r="AE43" s="92"/>
      <c r="AF43" s="92"/>
      <c r="AG43" s="92"/>
      <c r="AH43" s="92"/>
      <c r="AI43" s="92"/>
      <c r="AJ43" s="92"/>
      <c r="AK43" s="92"/>
      <c r="AL43" s="92"/>
      <c r="AM43" s="92"/>
      <c r="AN43" s="92"/>
      <c r="AO43" s="92"/>
      <c r="AP43" s="92"/>
      <c r="AQ43" s="92"/>
      <c r="AR43" s="92"/>
      <c r="AS43" s="92"/>
      <c r="AT43" s="92"/>
      <c r="AU43" s="92"/>
    </row>
    <row r="44" spans="1:47" s="96" customFormat="1">
      <c r="B44" s="92"/>
      <c r="C44" s="105"/>
      <c r="D44" s="92"/>
      <c r="R44" s="92"/>
      <c r="S44" s="92"/>
      <c r="T44" s="92"/>
      <c r="U44" s="92"/>
      <c r="V44" s="92"/>
      <c r="W44" s="92"/>
      <c r="X44" s="92"/>
      <c r="Y44" s="92"/>
      <c r="Z44" s="92"/>
      <c r="AA44" s="92"/>
      <c r="AB44" s="92"/>
      <c r="AC44" s="92"/>
      <c r="AD44" s="92"/>
      <c r="AE44" s="92"/>
      <c r="AF44" s="92"/>
      <c r="AG44" s="92"/>
      <c r="AH44" s="92"/>
      <c r="AI44" s="92"/>
      <c r="AJ44" s="92"/>
      <c r="AK44" s="92"/>
      <c r="AL44" s="92"/>
      <c r="AM44" s="92"/>
      <c r="AN44" s="92"/>
      <c r="AO44" s="92"/>
      <c r="AP44" s="92"/>
      <c r="AQ44" s="92"/>
      <c r="AR44" s="92"/>
      <c r="AS44" s="92"/>
      <c r="AT44" s="92"/>
      <c r="AU44" s="92"/>
    </row>
    <row r="51" spans="2:47" s="96" customFormat="1">
      <c r="B51" s="92"/>
      <c r="C51" s="92"/>
      <c r="D51" s="92"/>
      <c r="R51" s="92"/>
      <c r="S51" s="92"/>
      <c r="T51" s="92"/>
      <c r="U51" s="92"/>
      <c r="V51" s="92"/>
      <c r="W51" s="92"/>
      <c r="X51" s="92"/>
      <c r="Y51" s="92"/>
      <c r="Z51" s="92"/>
      <c r="AA51" s="92"/>
      <c r="AB51" s="92"/>
      <c r="AC51" s="92"/>
      <c r="AD51" s="92"/>
      <c r="AE51" s="92"/>
      <c r="AF51" s="92"/>
      <c r="AG51" s="92"/>
      <c r="AH51" s="92"/>
      <c r="AI51" s="92"/>
      <c r="AJ51" s="92"/>
      <c r="AK51" s="92"/>
      <c r="AL51" s="92"/>
      <c r="AM51" s="92"/>
      <c r="AN51" s="92"/>
      <c r="AO51" s="92"/>
      <c r="AP51" s="92"/>
      <c r="AQ51" s="92"/>
      <c r="AR51" s="92"/>
      <c r="AS51" s="92"/>
      <c r="AT51" s="92"/>
      <c r="AU51" s="92"/>
    </row>
    <row r="52" spans="2:47" s="96" customFormat="1">
      <c r="B52" s="106"/>
      <c r="C52" s="103"/>
      <c r="D52" s="103"/>
      <c r="R52" s="92"/>
      <c r="S52" s="92"/>
      <c r="T52" s="92"/>
      <c r="U52" s="92"/>
      <c r="V52" s="92"/>
      <c r="W52" s="92"/>
      <c r="X52" s="92"/>
      <c r="Y52" s="92"/>
      <c r="Z52" s="92"/>
      <c r="AA52" s="92"/>
      <c r="AB52" s="92"/>
      <c r="AC52" s="92"/>
      <c r="AD52" s="92"/>
      <c r="AE52" s="92"/>
      <c r="AF52" s="92"/>
      <c r="AG52" s="92"/>
      <c r="AH52" s="92"/>
      <c r="AI52" s="92"/>
      <c r="AJ52" s="92"/>
      <c r="AK52" s="92"/>
      <c r="AL52" s="92"/>
      <c r="AM52" s="92"/>
      <c r="AN52" s="92"/>
      <c r="AO52" s="92"/>
      <c r="AP52" s="92"/>
      <c r="AQ52" s="92"/>
      <c r="AR52" s="92"/>
      <c r="AS52" s="92"/>
      <c r="AT52" s="92"/>
      <c r="AU52" s="92"/>
    </row>
    <row r="53" spans="2:47" s="96" customFormat="1">
      <c r="B53" s="106"/>
      <c r="C53" s="103"/>
      <c r="D53" s="92"/>
      <c r="R53" s="92"/>
      <c r="S53" s="92"/>
      <c r="T53" s="92"/>
      <c r="U53" s="92"/>
      <c r="V53" s="92"/>
      <c r="W53" s="92"/>
      <c r="X53" s="92"/>
      <c r="Y53" s="92"/>
      <c r="Z53" s="92"/>
      <c r="AA53" s="92"/>
      <c r="AB53" s="92"/>
      <c r="AC53" s="92"/>
      <c r="AD53" s="92"/>
      <c r="AE53" s="92"/>
      <c r="AF53" s="92"/>
      <c r="AG53" s="92"/>
      <c r="AH53" s="92"/>
      <c r="AI53" s="92"/>
      <c r="AJ53" s="92"/>
      <c r="AK53" s="92"/>
      <c r="AL53" s="92"/>
      <c r="AM53" s="92"/>
      <c r="AN53" s="92"/>
      <c r="AO53" s="92"/>
      <c r="AP53" s="92"/>
      <c r="AQ53" s="92"/>
      <c r="AR53" s="92"/>
      <c r="AS53" s="92"/>
      <c r="AT53" s="92"/>
      <c r="AU53" s="92"/>
    </row>
    <row r="54" spans="2:47">
      <c r="B54" s="106"/>
    </row>
  </sheetData>
  <mergeCells count="22">
    <mergeCell ref="R10:R11"/>
    <mergeCell ref="S10:S11"/>
    <mergeCell ref="C1:D1"/>
    <mergeCell ref="A10:A11"/>
    <mergeCell ref="B10:B11"/>
    <mergeCell ref="C10:C11"/>
    <mergeCell ref="D10:D11"/>
    <mergeCell ref="E10:G10"/>
    <mergeCell ref="B12:C12"/>
    <mergeCell ref="B14:Q14"/>
    <mergeCell ref="B16:Q16"/>
    <mergeCell ref="H10:J10"/>
    <mergeCell ref="K10:M10"/>
    <mergeCell ref="N10:P10"/>
    <mergeCell ref="Q10:Q11"/>
    <mergeCell ref="B30:Q30"/>
    <mergeCell ref="B32:Q32"/>
    <mergeCell ref="B31:Q31"/>
    <mergeCell ref="B33:Q33"/>
    <mergeCell ref="B13:D13"/>
    <mergeCell ref="B17:Q17"/>
    <mergeCell ref="B25:Q25"/>
  </mergeCells>
  <conditionalFormatting sqref="F19:G24 C15:D15 F15:G15 C19:D21 C23:D23 K15:P15 K19:P24">
    <cfRule type="cellIs" dxfId="65" priority="94" operator="equal">
      <formula>"P"</formula>
    </cfRule>
    <cfRule type="cellIs" dxfId="64" priority="95" stopIfTrue="1" operator="equal">
      <formula>"F"</formula>
    </cfRule>
    <cfRule type="cellIs" dxfId="63" priority="96" stopIfTrue="1" operator="equal">
      <formula>"PE"</formula>
    </cfRule>
  </conditionalFormatting>
  <conditionalFormatting sqref="E19:E24 E15">
    <cfRule type="cellIs" priority="91" stopIfTrue="1" operator="equal">
      <formula>"P"</formula>
    </cfRule>
    <cfRule type="cellIs" dxfId="62" priority="92" stopIfTrue="1" operator="equal">
      <formula>"F"</formula>
    </cfRule>
    <cfRule type="cellIs" dxfId="61" priority="93" stopIfTrue="1" operator="equal">
      <formula>"PE"</formula>
    </cfRule>
  </conditionalFormatting>
  <conditionalFormatting sqref="E1:Q11 K12:Q12">
    <cfRule type="cellIs" dxfId="60" priority="113" stopIfTrue="1" operator="equal">
      <formula>"P"</formula>
    </cfRule>
    <cfRule type="cellIs" dxfId="59" priority="114" stopIfTrue="1" operator="equal">
      <formula>"F"</formula>
    </cfRule>
    <cfRule type="cellIs" dxfId="58" priority="115" stopIfTrue="1" operator="equal">
      <formula>"PE"</formula>
    </cfRule>
  </conditionalFormatting>
  <conditionalFormatting sqref="D18 F18:G18 K18:P18">
    <cfRule type="cellIs" dxfId="57" priority="88" operator="equal">
      <formula>"P"</formula>
    </cfRule>
    <cfRule type="cellIs" dxfId="56" priority="89" stopIfTrue="1" operator="equal">
      <formula>"F"</formula>
    </cfRule>
    <cfRule type="cellIs" dxfId="55" priority="90" stopIfTrue="1" operator="equal">
      <formula>"PE"</formula>
    </cfRule>
  </conditionalFormatting>
  <conditionalFormatting sqref="E18">
    <cfRule type="cellIs" priority="85" stopIfTrue="1" operator="equal">
      <formula>"P"</formula>
    </cfRule>
    <cfRule type="cellIs" dxfId="54" priority="86" stopIfTrue="1" operator="equal">
      <formula>"F"</formula>
    </cfRule>
    <cfRule type="cellIs" dxfId="53" priority="87" stopIfTrue="1" operator="equal">
      <formula>"PE"</formula>
    </cfRule>
  </conditionalFormatting>
  <conditionalFormatting sqref="C18">
    <cfRule type="cellIs" dxfId="52" priority="82" operator="equal">
      <formula>"P"</formula>
    </cfRule>
    <cfRule type="cellIs" dxfId="51" priority="83" stopIfTrue="1" operator="equal">
      <formula>"F"</formula>
    </cfRule>
    <cfRule type="cellIs" dxfId="50" priority="84" stopIfTrue="1" operator="equal">
      <formula>"PE"</formula>
    </cfRule>
  </conditionalFormatting>
  <conditionalFormatting sqref="C22:D22">
    <cfRule type="cellIs" dxfId="49" priority="79" operator="equal">
      <formula>"P"</formula>
    </cfRule>
    <cfRule type="cellIs" dxfId="48" priority="80" stopIfTrue="1" operator="equal">
      <formula>"F"</formula>
    </cfRule>
    <cfRule type="cellIs" dxfId="47" priority="81" stopIfTrue="1" operator="equal">
      <formula>"PE"</formula>
    </cfRule>
  </conditionalFormatting>
  <conditionalFormatting sqref="C24:D24">
    <cfRule type="cellIs" dxfId="46" priority="76" operator="equal">
      <formula>"P"</formula>
    </cfRule>
    <cfRule type="cellIs" dxfId="45" priority="77" stopIfTrue="1" operator="equal">
      <formula>"F"</formula>
    </cfRule>
    <cfRule type="cellIs" dxfId="44" priority="78" stopIfTrue="1" operator="equal">
      <formula>"PE"</formula>
    </cfRule>
  </conditionalFormatting>
  <conditionalFormatting sqref="D26 F26:G26 K26:P26">
    <cfRule type="cellIs" dxfId="43" priority="64" operator="equal">
      <formula>"P"</formula>
    </cfRule>
    <cfRule type="cellIs" dxfId="42" priority="65" stopIfTrue="1" operator="equal">
      <formula>"F"</formula>
    </cfRule>
    <cfRule type="cellIs" dxfId="41" priority="66" stopIfTrue="1" operator="equal">
      <formula>"PE"</formula>
    </cfRule>
  </conditionalFormatting>
  <conditionalFormatting sqref="E26">
    <cfRule type="cellIs" priority="61" stopIfTrue="1" operator="equal">
      <formula>"P"</formula>
    </cfRule>
    <cfRule type="cellIs" dxfId="40" priority="62" stopIfTrue="1" operator="equal">
      <formula>"F"</formula>
    </cfRule>
    <cfRule type="cellIs" dxfId="39" priority="63" stopIfTrue="1" operator="equal">
      <formula>"PE"</formula>
    </cfRule>
  </conditionalFormatting>
  <conditionalFormatting sqref="C26">
    <cfRule type="cellIs" dxfId="38" priority="58" operator="equal">
      <formula>"P"</formula>
    </cfRule>
    <cfRule type="cellIs" dxfId="37" priority="59" stopIfTrue="1" operator="equal">
      <formula>"F"</formula>
    </cfRule>
    <cfRule type="cellIs" dxfId="36" priority="60" stopIfTrue="1" operator="equal">
      <formula>"PE"</formula>
    </cfRule>
  </conditionalFormatting>
  <conditionalFormatting sqref="F27:G27 C27:D27 K27:P27">
    <cfRule type="cellIs" dxfId="35" priority="55" operator="equal">
      <formula>"P"</formula>
    </cfRule>
    <cfRule type="cellIs" dxfId="34" priority="56" stopIfTrue="1" operator="equal">
      <formula>"F"</formula>
    </cfRule>
    <cfRule type="cellIs" dxfId="33" priority="57" stopIfTrue="1" operator="equal">
      <formula>"PE"</formula>
    </cfRule>
  </conditionalFormatting>
  <conditionalFormatting sqref="E27">
    <cfRule type="cellIs" priority="52" stopIfTrue="1" operator="equal">
      <formula>"P"</formula>
    </cfRule>
    <cfRule type="cellIs" dxfId="32" priority="53" stopIfTrue="1" operator="equal">
      <formula>"F"</formula>
    </cfRule>
    <cfRule type="cellIs" dxfId="31" priority="54" stopIfTrue="1" operator="equal">
      <formula>"PE"</formula>
    </cfRule>
  </conditionalFormatting>
  <conditionalFormatting sqref="F28:G28 K28:P28">
    <cfRule type="cellIs" dxfId="30" priority="49" operator="equal">
      <formula>"P"</formula>
    </cfRule>
    <cfRule type="cellIs" dxfId="29" priority="50" stopIfTrue="1" operator="equal">
      <formula>"F"</formula>
    </cfRule>
    <cfRule type="cellIs" dxfId="28" priority="51" stopIfTrue="1" operator="equal">
      <formula>"PE"</formula>
    </cfRule>
  </conditionalFormatting>
  <conditionalFormatting sqref="E28">
    <cfRule type="cellIs" priority="46" stopIfTrue="1" operator="equal">
      <formula>"P"</formula>
    </cfRule>
    <cfRule type="cellIs" dxfId="27" priority="47" stopIfTrue="1" operator="equal">
      <formula>"F"</formula>
    </cfRule>
    <cfRule type="cellIs" dxfId="26" priority="48" stopIfTrue="1" operator="equal">
      <formula>"PE"</formula>
    </cfRule>
  </conditionalFormatting>
  <conditionalFormatting sqref="C28:D28">
    <cfRule type="cellIs" dxfId="25" priority="43" operator="equal">
      <formula>"P"</formula>
    </cfRule>
    <cfRule type="cellIs" dxfId="24" priority="44" stopIfTrue="1" operator="equal">
      <formula>"F"</formula>
    </cfRule>
    <cfRule type="cellIs" dxfId="23" priority="45" stopIfTrue="1" operator="equal">
      <formula>"PE"</formula>
    </cfRule>
  </conditionalFormatting>
  <conditionalFormatting sqref="F29:G29 K29:P29">
    <cfRule type="cellIs" dxfId="22" priority="40" operator="equal">
      <formula>"P"</formula>
    </cfRule>
    <cfRule type="cellIs" dxfId="21" priority="41" stopIfTrue="1" operator="equal">
      <formula>"F"</formula>
    </cfRule>
    <cfRule type="cellIs" dxfId="20" priority="42" stopIfTrue="1" operator="equal">
      <formula>"PE"</formula>
    </cfRule>
  </conditionalFormatting>
  <conditionalFormatting sqref="E29">
    <cfRule type="cellIs" priority="37" stopIfTrue="1" operator="equal">
      <formula>"P"</formula>
    </cfRule>
    <cfRule type="cellIs" dxfId="19" priority="38" stopIfTrue="1" operator="equal">
      <formula>"F"</formula>
    </cfRule>
    <cfRule type="cellIs" dxfId="18" priority="39" stopIfTrue="1" operator="equal">
      <formula>"PE"</formula>
    </cfRule>
  </conditionalFormatting>
  <conditionalFormatting sqref="C29:D29">
    <cfRule type="cellIs" dxfId="17" priority="34" operator="equal">
      <formula>"P"</formula>
    </cfRule>
    <cfRule type="cellIs" dxfId="16" priority="35" stopIfTrue="1" operator="equal">
      <formula>"F"</formula>
    </cfRule>
    <cfRule type="cellIs" dxfId="15" priority="36" stopIfTrue="1" operator="equal">
      <formula>"PE"</formula>
    </cfRule>
  </conditionalFormatting>
  <conditionalFormatting sqref="H26:H29">
    <cfRule type="cellIs" priority="1" stopIfTrue="1" operator="equal">
      <formula>"P"</formula>
    </cfRule>
    <cfRule type="cellIs" dxfId="14" priority="2" stopIfTrue="1" operator="equal">
      <formula>"F"</formula>
    </cfRule>
    <cfRule type="cellIs" dxfId="13" priority="3" stopIfTrue="1" operator="equal">
      <formula>"PE"</formula>
    </cfRule>
  </conditionalFormatting>
  <conditionalFormatting sqref="I15:J15">
    <cfRule type="cellIs" dxfId="12" priority="16" operator="equal">
      <formula>"P"</formula>
    </cfRule>
    <cfRule type="cellIs" dxfId="11" priority="17" stopIfTrue="1" operator="equal">
      <formula>"F"</formula>
    </cfRule>
    <cfRule type="cellIs" dxfId="10" priority="18" stopIfTrue="1" operator="equal">
      <formula>"PE"</formula>
    </cfRule>
  </conditionalFormatting>
  <conditionalFormatting sqref="H15">
    <cfRule type="cellIs" priority="13" stopIfTrue="1" operator="equal">
      <formula>"P"</formula>
    </cfRule>
    <cfRule type="cellIs" dxfId="9" priority="14" stopIfTrue="1" operator="equal">
      <formula>"F"</formula>
    </cfRule>
    <cfRule type="cellIs" dxfId="8" priority="15" stopIfTrue="1" operator="equal">
      <formula>"PE"</formula>
    </cfRule>
  </conditionalFormatting>
  <conditionalFormatting sqref="I18:J24">
    <cfRule type="cellIs" dxfId="7" priority="10" operator="equal">
      <formula>"P"</formula>
    </cfRule>
    <cfRule type="cellIs" dxfId="6" priority="11" stopIfTrue="1" operator="equal">
      <formula>"F"</formula>
    </cfRule>
    <cfRule type="cellIs" dxfId="5" priority="12" stopIfTrue="1" operator="equal">
      <formula>"PE"</formula>
    </cfRule>
  </conditionalFormatting>
  <conditionalFormatting sqref="H18:H24">
    <cfRule type="cellIs" priority="7" stopIfTrue="1" operator="equal">
      <formula>"P"</formula>
    </cfRule>
    <cfRule type="cellIs" dxfId="4" priority="8" stopIfTrue="1" operator="equal">
      <formula>"F"</formula>
    </cfRule>
    <cfRule type="cellIs" dxfId="3" priority="9" stopIfTrue="1" operator="equal">
      <formula>"PE"</formula>
    </cfRule>
  </conditionalFormatting>
  <conditionalFormatting sqref="I26:J29">
    <cfRule type="cellIs" dxfId="2" priority="4" operator="equal">
      <formula>"P"</formula>
    </cfRule>
    <cfRule type="cellIs" dxfId="1" priority="5" stopIfTrue="1" operator="equal">
      <formula>"F"</formula>
    </cfRule>
    <cfRule type="cellIs" dxfId="0" priority="6" stopIfTrue="1" operator="equal">
      <formula>"PE"</formula>
    </cfRule>
  </conditionalFormatting>
  <dataValidations count="1">
    <dataValidation type="list" allowBlank="1" showInputMessage="1" showErrorMessage="1" sqref="H15 H18:H24 H26:H29 E15 E18:E24 E26:E29">
      <formula1>"P,F,PE"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Trang bìa</vt:lpstr>
      <vt:lpstr>Giới thiệu</vt:lpstr>
      <vt:lpstr>Tổng hợp</vt:lpstr>
      <vt:lpstr>YC02_Web</vt:lpstr>
      <vt:lpstr>YC02_App</vt:lpstr>
      <vt:lpstr>YC02_Web!Print_Area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QUỲNH ANH</dc:creator>
  <cp:lastModifiedBy>Tuyen Luong</cp:lastModifiedBy>
  <dcterms:created xsi:type="dcterms:W3CDTF">2026-02-27T10:01:50Z</dcterms:created>
  <dcterms:modified xsi:type="dcterms:W3CDTF">2026-10-07T10:55:36Z</dcterms:modified>
</cp:coreProperties>
</file>